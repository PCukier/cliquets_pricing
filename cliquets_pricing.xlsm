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iotr\source\school\MN\projekt - podejscie 2\"/>
    </mc:Choice>
  </mc:AlternateContent>
  <xr:revisionPtr revIDLastSave="0" documentId="13_ncr:1_{0C815B26-B15C-46D8-B382-8DDF69A7FC7C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functionGroups builtInGroupCount="19"/>
  <definedNames>
    <definedName name="_xlchart.v1.0" hidden="1">Sheet1!$D$3:$D$102</definedName>
    <definedName name="_xlchart.v1.1" hidden="1">Sheet1!$E$3:$E$102</definedName>
    <definedName name="_xlchart.v1.10" hidden="1">Sheet1!$I$3:$I$102</definedName>
    <definedName name="_xlchart.v1.11" hidden="1">Sheet1!$J$3:$J$102</definedName>
    <definedName name="_xlchart.v1.12" hidden="1">Sheet1!$K$3:$K$102</definedName>
    <definedName name="_xlchart.v1.13" hidden="1">Sheet1!$N$3:$N$102</definedName>
    <definedName name="_xlchart.v1.14" hidden="1">Sheet1!$O$3:$O$102</definedName>
    <definedName name="_xlchart.v1.15" hidden="1">Sheet1!$P$3:$P$102</definedName>
    <definedName name="_xlchart.v1.16" hidden="1">Sheet1!$N$3:$N$102</definedName>
    <definedName name="_xlchart.v1.17" hidden="1">Sheet1!$O$3:$O$102</definedName>
    <definedName name="_xlchart.v1.18" hidden="1">Sheet1!$P$3:$P$102</definedName>
    <definedName name="_xlchart.v1.19" hidden="1">Sheet1!$S$3:$S$102</definedName>
    <definedName name="_xlchart.v1.2" hidden="1">Sheet1!$F$3:$F$102</definedName>
    <definedName name="_xlchart.v1.20" hidden="1">Sheet1!$T$3:$T$102</definedName>
    <definedName name="_xlchart.v1.21" hidden="1">Sheet1!$U$3:$U$102</definedName>
    <definedName name="_xlchart.v1.22" hidden="1">Sheet1!$D$2</definedName>
    <definedName name="_xlchart.v1.23" hidden="1">Sheet1!$W$1</definedName>
    <definedName name="_xlchart.v1.24" hidden="1">Sheet1!$W$1</definedName>
    <definedName name="_xlchart.v1.25" hidden="1">Sheet1!$W$1</definedName>
    <definedName name="_xlchart.v1.26" hidden="1">Sheet1!$I$3:$I$102</definedName>
    <definedName name="_xlchart.v1.27" hidden="1">Sheet1!$J$3:$J$102</definedName>
    <definedName name="_xlchart.v1.28" hidden="1">Sheet1!$K$3:$K$102</definedName>
    <definedName name="_xlchart.v1.29" hidden="1">Sheet1!$S$3:$S$102</definedName>
    <definedName name="_xlchart.v1.3" hidden="1">Sheet1!$W$1</definedName>
    <definedName name="_xlchart.v1.30" hidden="1">Sheet1!$T$3:$T$102</definedName>
    <definedName name="_xlchart.v1.31" hidden="1">Sheet1!$U$3:$U$102</definedName>
    <definedName name="_xlchart.v1.32" hidden="1">Sheet1!$N$3:$N$102</definedName>
    <definedName name="_xlchart.v1.33" hidden="1">Sheet1!$O$3:$O$102</definedName>
    <definedName name="_xlchart.v1.34" hidden="1">Sheet1!$P$3:$P$102</definedName>
    <definedName name="_xlchart.v1.4" hidden="1">Sheet1!$I$3:$I$102</definedName>
    <definedName name="_xlchart.v1.5" hidden="1">Sheet1!$J$3:$J$102</definedName>
    <definedName name="_xlchart.v1.6" hidden="1">Sheet1!$K$3:$K$102</definedName>
    <definedName name="_xlchart.v1.7" hidden="1">Sheet1!$D$3:$D$102</definedName>
    <definedName name="_xlchart.v1.8" hidden="1">Sheet1!$E$3:$E$102</definedName>
    <definedName name="_xlchart.v1.9" hidden="1">Sheet1!$F$3:$F$102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" l="1" a="1"/>
  <c r="D3" i="1"/>
  <c r="O3" i="1" l="1" a="1"/>
  <c r="U3" i="1" a="1"/>
  <c r="P3" i="1" a="1"/>
  <c r="T3" i="1" a="1"/>
  <c r="N3" i="1" a="1"/>
  <c r="E3" i="1" a="1"/>
  <c r="J3" i="1" a="1"/>
  <c r="S3" i="1" a="1"/>
  <c r="F3" i="1" a="1"/>
  <c r="I3" i="1" a="1"/>
  <c r="K3" i="1" a="1"/>
  <c r="K3" i="1" l="1"/>
  <c r="I3" i="1"/>
  <c r="F3" i="1"/>
  <c r="S3" i="1"/>
  <c r="J3" i="1"/>
  <c r="E3" i="1"/>
  <c r="N3" i="1"/>
  <c r="T3" i="1"/>
  <c r="P3" i="1"/>
  <c r="U3" i="1"/>
  <c r="O3" i="1"/>
  <c r="K104" i="1" l="1"/>
  <c r="K103" i="1"/>
  <c r="O104" i="1"/>
  <c r="O103" i="1"/>
  <c r="U104" i="1"/>
  <c r="U103" i="1"/>
  <c r="P104" i="1"/>
  <c r="P103" i="1"/>
  <c r="T104" i="1"/>
  <c r="T103" i="1"/>
  <c r="N104" i="1"/>
  <c r="N103" i="1"/>
  <c r="E104" i="1"/>
  <c r="E103" i="1"/>
  <c r="J104" i="1"/>
  <c r="J103" i="1"/>
  <c r="S104" i="1"/>
  <c r="S103" i="1"/>
  <c r="F104" i="1"/>
  <c r="F103" i="1"/>
  <c r="I104" i="1"/>
  <c r="I103" i="1"/>
  <c r="D104" i="1"/>
  <c r="D10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<sst xmlns="http://schemas.openxmlformats.org/spreadsheetml/2006/main" count="6" uniqueCount="6">
  <si>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Średnia</t>
  </si>
  <si>
    <t>Variancja</t>
  </si>
  <si>
    <t>Wycena - MC</t>
  </si>
  <si>
    <t>Wycena - MC + Warstwowanie</t>
  </si>
  <si>
    <t>Wycena - MC + Importance Sampling</t>
  </si>
  <si>
    <t>Wycena - MC + Odbicia lustrzane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</si>
</sst>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0000000"/>
    <numFmt numFmtId="165" formatCode="0.00000000000000000"/>
    <numFmt numFmtId="166" formatCode="0.000000000"/>
    <numFmt numFmtId="167" formatCode="0.0000000000000000"/>
    <numFmt numFmtId="168" formatCode="0.00000000"/>
  </numFmts>
  <fonts count="4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lightDown">
        <fgColor theme="4" tint="0.39994506668294322"/>
        <bgColor auto="1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rgb="FF3F3F3F"/>
      </left>
      <right style="thick">
        <color rgb="FF3F3F3F"/>
      </right>
      <top style="thick">
        <color rgb="FF3F3F3F"/>
      </top>
      <bottom style="thick">
        <color rgb="FF3F3F3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165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5" fontId="0" fillId="4" borderId="0" xfId="0" applyNumberFormat="1" applyFill="1" applyAlignment="1">
      <alignment horizontal="center"/>
    </xf>
    <xf numFmtId="0" fontId="0" fillId="5" borderId="0" xfId="0" applyFill="1"/>
    <xf numFmtId="0" fontId="3" fillId="0" borderId="2" xfId="2" applyBorder="1"/>
    <xf numFmtId="0" fontId="3" fillId="0" borderId="3" xfId="2" applyBorder="1"/>
    <xf numFmtId="0" fontId="3" fillId="0" borderId="4" xfId="2" applyBorder="1"/>
    <xf numFmtId="0" fontId="3" fillId="0" borderId="5" xfId="2" applyBorder="1"/>
    <xf numFmtId="0" fontId="3" fillId="0" borderId="0" xfId="2" applyBorder="1"/>
    <xf numFmtId="0" fontId="3" fillId="0" borderId="6" xfId="2" applyBorder="1"/>
    <xf numFmtId="165" fontId="3" fillId="0" borderId="2" xfId="2" applyNumberFormat="1" applyBorder="1"/>
    <xf numFmtId="165" fontId="3" fillId="0" borderId="3" xfId="2" applyNumberFormat="1" applyBorder="1"/>
    <xf numFmtId="165" fontId="3" fillId="0" borderId="4" xfId="2" applyNumberFormat="1" applyBorder="1"/>
    <xf numFmtId="165" fontId="3" fillId="0" borderId="5" xfId="2" applyNumberFormat="1" applyBorder="1"/>
    <xf numFmtId="165" fontId="3" fillId="0" borderId="0" xfId="2" applyNumberFormat="1" applyBorder="1"/>
    <xf numFmtId="165" fontId="3" fillId="0" borderId="6" xfId="2" applyNumberFormat="1" applyBorder="1"/>
    <xf numFmtId="166" fontId="3" fillId="0" borderId="2" xfId="2" applyNumberFormat="1" applyBorder="1"/>
    <xf numFmtId="166" fontId="3" fillId="0" borderId="3" xfId="2" applyNumberFormat="1" applyBorder="1"/>
    <xf numFmtId="168" fontId="3" fillId="0" borderId="4" xfId="2" applyNumberFormat="1" applyBorder="1"/>
    <xf numFmtId="166" fontId="3" fillId="0" borderId="5" xfId="2" applyNumberFormat="1" applyBorder="1"/>
    <xf numFmtId="166" fontId="3" fillId="0" borderId="0" xfId="2" applyNumberFormat="1" applyBorder="1"/>
    <xf numFmtId="168" fontId="3" fillId="0" borderId="6" xfId="2" applyNumberFormat="1" applyBorder="1"/>
    <xf numFmtId="167" fontId="3" fillId="0" borderId="2" xfId="2" applyNumberFormat="1" applyBorder="1"/>
    <xf numFmtId="167" fontId="3" fillId="0" borderId="3" xfId="2" applyNumberFormat="1" applyBorder="1"/>
    <xf numFmtId="167" fontId="3" fillId="0" borderId="4" xfId="2" applyNumberFormat="1" applyBorder="1"/>
    <xf numFmtId="167" fontId="3" fillId="0" borderId="5" xfId="2" applyNumberFormat="1" applyBorder="1"/>
    <xf numFmtId="0" fontId="1" fillId="0" borderId="2" xfId="0" applyFont="1" applyBorder="1"/>
    <xf numFmtId="0" fontId="1" fillId="0" borderId="7" xfId="0" applyFont="1" applyBorder="1"/>
    <xf numFmtId="164" fontId="2" fillId="2" borderId="8" xfId="1" applyNumberFormat="1" applyBorder="1"/>
    <xf numFmtId="0" fontId="2" fillId="2" borderId="8" xfId="1" applyBorder="1"/>
    <xf numFmtId="165" fontId="2" fillId="2" borderId="9" xfId="1" applyNumberFormat="1" applyBorder="1"/>
    <xf numFmtId="0" fontId="2" fillId="2" borderId="9" xfId="1" applyBorder="1"/>
    <xf numFmtId="166" fontId="2" fillId="2" borderId="9" xfId="1" applyNumberFormat="1" applyBorder="1"/>
    <xf numFmtId="168" fontId="2" fillId="2" borderId="9" xfId="1" applyNumberFormat="1" applyBorder="1"/>
    <xf numFmtId="167" fontId="2" fillId="2" borderId="9" xfId="1" applyNumberFormat="1" applyBorder="1"/>
  </cellXfs>
  <cellStyles count="3">
    <cellStyle name="Explanatory Text" xfId="2" builtinId="53"/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</cx:f>
      </cx:numDim>
    </cx:data>
    <cx:data id="1">
      <cx:numDim type="val">
        <cx:f>_xlchart.v1.8</cx:f>
      </cx:numDim>
    </cx:data>
    <cx:data id="2">
      <cx:numDim type="val">
        <cx:f>_xlchart.v1.9</cx:f>
      </cx:numDim>
    </cx:data>
  </cx:chartData>
  <cx:chart>
    <cx:plotArea>
      <cx:plotAreaRegion>
        <cx:series layoutId="boxWhisker" uniqueId="{7BACF72C-F7E9-4C82-959F-013E9F24E7A5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FABFD38-60D7-4D9A-A4ED-E30C8257C5A0}"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5D133E4C-FCA4-4458-B4CC-9A9E53861C3E}">
          <cx:dataId val="2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_xlchart.v1.13</cx:f>
      </cx:numDim>
    </cx:data>
    <cx:data id="1">
      <cx:numDim type="val">
        <cx:f>_xlchart.v1.14</cx:f>
      </cx:numDim>
    </cx:data>
    <cx:data id="2">
      <cx:numDim type="val">
        <cx:f>_xlchart.v1.15</cx:f>
      </cx:numDim>
    </cx:data>
  </cx:chartData>
  <cx:chart>
    <cx:plotArea>
      <cx:plotAreaRegion>
        <cx:series layoutId="boxWhisker" uniqueId="{B457DA10-1538-407F-BE26-4028E28D80DA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4B22020E-451F-4F4D-AA00-CD85026E9818}"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626FD8F7-8BCC-4355-B2B5-7BD9DD588516}">
          <cx:dataId val="2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_xlchart.v1.26</cx:f>
      </cx:numDim>
    </cx:data>
    <cx:data id="1">
      <cx:numDim type="val">
        <cx:f>_xlchart.v1.27</cx:f>
      </cx:numDim>
    </cx:data>
    <cx:data id="2">
      <cx:numDim type="val">
        <cx:f>_xlchart.v1.28</cx:f>
      </cx:numDim>
    </cx:data>
  </cx:chartData>
  <cx:chart>
    <cx:plotArea>
      <cx:plotAreaRegion>
        <cx:series layoutId="boxWhisker" uniqueId="{AF13A8F0-821B-4D32-88CC-31258B535416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8BF21E91-A69D-45AD-89DD-1A7932D74397}"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9E22CA25-7DCF-4140-9036-9482FCBA285E}">
          <cx:dataId val="2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_xlchart.v1.29</cx:f>
      </cx:numDim>
    </cx:data>
    <cx:data id="1">
      <cx:numDim type="val">
        <cx:f>_xlchart.v1.30</cx:f>
      </cx:numDim>
    </cx:data>
    <cx:data id="2">
      <cx:numDim type="val">
        <cx:f>_xlchart.v1.31</cx:f>
      </cx:numDim>
    </cx:data>
  </cx:chartData>
  <cx:chart>
    <cx:plotArea>
      <cx:plotAreaRegion>
        <cx:series layoutId="boxWhisker" uniqueId="{C30FCC5C-E92A-4BAE-A9A4-E1E356984BE1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AA60EF23-6C97-412A-AB32-4735C3E0FB2C}"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3CE224E5-6AF4-43FF-AFD5-9EB69FF654A4}">
          <cx:dataId val="2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105</xdr:row>
      <xdr:rowOff>0</xdr:rowOff>
    </xdr:from>
    <xdr:to>
      <xdr:col>6</xdr:col>
      <xdr:colOff>601980</xdr:colOff>
      <xdr:row>120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FA116A5-3EB9-43A0-90BB-B1B241B4AE1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7300" y="19248120"/>
              <a:ext cx="42291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11</xdr:col>
      <xdr:colOff>0</xdr:colOff>
      <xdr:row>105</xdr:row>
      <xdr:rowOff>0</xdr:rowOff>
    </xdr:from>
    <xdr:to>
      <xdr:col>17</xdr:col>
      <xdr:colOff>358140</xdr:colOff>
      <xdr:row>120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68D0532D-1B9F-4386-BD79-D3EC445B2DE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86060" y="1924812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105</xdr:row>
      <xdr:rowOff>0</xdr:rowOff>
    </xdr:from>
    <xdr:to>
      <xdr:col>10</xdr:col>
      <xdr:colOff>1074420</xdr:colOff>
      <xdr:row>120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9CA067A1-F890-4F66-B9A8-BA3AB5E78F7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94020" y="1924812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18</xdr:col>
      <xdr:colOff>0</xdr:colOff>
      <xdr:row>105</xdr:row>
      <xdr:rowOff>0</xdr:rowOff>
    </xdr:from>
    <xdr:to>
      <xdr:col>21</xdr:col>
      <xdr:colOff>594360</xdr:colOff>
      <xdr:row>120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Chart 10">
              <a:extLst>
                <a:ext uri="{FF2B5EF4-FFF2-40B4-BE49-F238E27FC236}">
                  <a16:creationId xmlns:a16="http://schemas.microsoft.com/office/drawing/2014/main" id="{59658961-1CE4-4F62-919B-97265DFCDC0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09520" y="1924812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V105"/>
  <sheetViews>
    <sheetView tabSelected="1" topLeftCell="A106" zoomScaleNormal="100" workbookViewId="0">
      <selection activeCell="F123" sqref="F123"/>
    </sheetView>
  </sheetViews>
  <sheetFormatPr defaultRowHeight="14.4" x14ac:dyDescent="0.3"/>
  <cols>
    <col min="2" max="2" width="9.44140625" customWidth="1"/>
    <col min="4" max="6" width="14.6640625" bestFit="1" customWidth="1"/>
    <col min="9" max="9" width="21.77734375" style="1" customWidth="1"/>
    <col min="10" max="11" width="20.33203125" bestFit="1" customWidth="1"/>
    <col min="14" max="15" width="12.109375" bestFit="1" customWidth="1"/>
    <col min="16" max="16" width="10.5546875" customWidth="1"/>
    <col min="19" max="21" width="19.33203125" bestFit="1" customWidth="1"/>
  </cols>
  <sheetData>
    <row r="1" spans="2:22" x14ac:dyDescent="0.3">
      <c r="B1" s="5"/>
      <c r="C1" s="5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5"/>
    </row>
    <row r="2" spans="2:22" ht="15" thickBot="1" x14ac:dyDescent="0.35">
      <c r="B2" s="5"/>
      <c r="C2" s="5"/>
      <c r="D2" s="3" t="s">
        <v>2</v>
      </c>
      <c r="E2" s="3"/>
      <c r="F2" s="3"/>
      <c r="G2" s="5"/>
      <c r="H2" s="5"/>
      <c r="I2" s="4" t="s">
        <v>3</v>
      </c>
      <c r="J2" s="4"/>
      <c r="K2" s="4"/>
      <c r="L2" s="5"/>
      <c r="M2" s="5"/>
      <c r="N2" s="4" t="s">
        <v>4</v>
      </c>
      <c r="O2" s="4"/>
      <c r="P2" s="4"/>
      <c r="Q2" s="5"/>
      <c r="R2" s="5"/>
      <c r="S2" s="4" t="s">
        <v>5</v>
      </c>
      <c r="T2" s="4"/>
      <c r="U2" s="4"/>
      <c r="V2" s="5"/>
    </row>
    <row r="3" spans="2:22" x14ac:dyDescent="0.3">
      <c r="B3" s="5"/>
      <c r="C3" s="5"/>
      <c r="D3" s="6" cm="1">
        <f t="array" ref="D3:D102">TRANSPOSE(NormalCliquer())</f>
        <v>0.98099995373074889</v>
      </c>
      <c r="E3" s="7" cm="1">
        <f t="array" ref="E3:E102">TRANSPOSE(NormalCliquer())</f>
        <v>1.0208986390890955</v>
      </c>
      <c r="F3" s="8" cm="1">
        <f t="array" ref="F3:F102">TRANSPOSE(NormalCliquer())</f>
        <v>0.78619015884692134</v>
      </c>
      <c r="G3" s="5"/>
      <c r="H3" s="5"/>
      <c r="I3" s="12" cm="1">
        <f t="array" ref="I3:I102">TRANSPOSE(SSCliquer())</f>
        <v>0.78841653843526471</v>
      </c>
      <c r="J3" s="13" cm="1">
        <f t="array" ref="J3:J102">TRANSPOSE(SSCliquer())</f>
        <v>0.78578353636999343</v>
      </c>
      <c r="K3" s="14" cm="1">
        <f t="array" ref="K3:K102">TRANSPOSE(SSCliquer())</f>
        <v>0.78389493350292838</v>
      </c>
      <c r="L3" s="5"/>
      <c r="M3" s="5"/>
      <c r="N3" s="18" cm="1">
        <f t="array" ref="N3:N102">TRANSPOSE(ISCliquer())</f>
        <v>0.70291775344861773</v>
      </c>
      <c r="O3" s="19" cm="1">
        <f t="array" ref="O3:O102">TRANSPOSE(ISCliquer())</f>
        <v>0.7317084504720921</v>
      </c>
      <c r="P3" s="20" cm="1">
        <f t="array" ref="P3:P102">TRANSPOSE(ISCliquer())</f>
        <v>0.95001655953384356</v>
      </c>
      <c r="Q3" s="5"/>
      <c r="R3" s="5"/>
      <c r="S3" s="24" cm="1">
        <f t="array" ref="S3:S102">TRANSPOSE(OLCliquer())</f>
        <v>0.82533826307486435</v>
      </c>
      <c r="T3" s="25" cm="1">
        <f t="array" ref="T3:T102">TRANSPOSE(OLCliquer())</f>
        <v>0.7830165910488337</v>
      </c>
      <c r="U3" s="26" cm="1">
        <f t="array" ref="U3:U102">TRANSPOSE(OLCliquer())</f>
        <v>0.83880412336915655</v>
      </c>
      <c r="V3" s="5"/>
    </row>
    <row r="4" spans="2:22" x14ac:dyDescent="0.3">
      <c r="B4" s="5"/>
      <c r="C4" s="5"/>
      <c r="D4" s="9">
        <v>0.6828320488193188</v>
      </c>
      <c r="E4" s="10">
        <v>0.71273974074680457</v>
      </c>
      <c r="F4" s="11">
        <v>0.84327065151895786</v>
      </c>
      <c r="G4" s="5"/>
      <c r="H4" s="5"/>
      <c r="I4" s="15">
        <v>0.79036136602363638</v>
      </c>
      <c r="J4" s="16">
        <v>0.7810904663586703</v>
      </c>
      <c r="K4" s="17">
        <v>0.77733078456607219</v>
      </c>
      <c r="L4" s="5"/>
      <c r="M4" s="5"/>
      <c r="N4" s="21">
        <v>0.48072410802590465</v>
      </c>
      <c r="O4" s="22">
        <v>0.70401341267170681</v>
      </c>
      <c r="P4" s="23">
        <v>0.74063364641644336</v>
      </c>
      <c r="Q4" s="5"/>
      <c r="R4" s="5"/>
      <c r="S4" s="27">
        <v>0.80672467153929006</v>
      </c>
      <c r="T4" s="10">
        <v>0.76152360160681043</v>
      </c>
      <c r="U4" s="11">
        <v>0.85560155852057151</v>
      </c>
      <c r="V4" s="5"/>
    </row>
    <row r="5" spans="2:22" x14ac:dyDescent="0.3">
      <c r="B5" s="5"/>
      <c r="C5" s="5"/>
      <c r="D5" s="9">
        <v>0.61591906774875993</v>
      </c>
      <c r="E5" s="10">
        <v>0.68240220662558959</v>
      </c>
      <c r="F5" s="11">
        <v>0.92865653177576823</v>
      </c>
      <c r="G5" s="5"/>
      <c r="H5" s="5"/>
      <c r="I5" s="15">
        <v>0.78833495970677658</v>
      </c>
      <c r="J5" s="16">
        <v>0.78034045372342509</v>
      </c>
      <c r="K5" s="17">
        <v>0.79025264780242521</v>
      </c>
      <c r="L5" s="5"/>
      <c r="M5" s="5"/>
      <c r="N5" s="21">
        <v>0.76277949303284243</v>
      </c>
      <c r="O5" s="22">
        <v>0.68004690362046805</v>
      </c>
      <c r="P5" s="23">
        <v>0.71067725140212124</v>
      </c>
      <c r="Q5" s="5"/>
      <c r="R5" s="5"/>
      <c r="S5" s="27">
        <v>0.65597557124490291</v>
      </c>
      <c r="T5" s="10">
        <v>0.82048493990054705</v>
      </c>
      <c r="U5" s="11">
        <v>0.89854378306182858</v>
      </c>
      <c r="V5" s="5"/>
    </row>
    <row r="6" spans="2:22" x14ac:dyDescent="0.3">
      <c r="B6" s="5"/>
      <c r="C6" s="5"/>
      <c r="D6" s="9">
        <v>0.52149306120793093</v>
      </c>
      <c r="E6" s="10">
        <v>0.72023860366504233</v>
      </c>
      <c r="F6" s="11">
        <v>0.77010356433326899</v>
      </c>
      <c r="G6" s="5"/>
      <c r="H6" s="5"/>
      <c r="I6" s="15">
        <v>0.7831538475537414</v>
      </c>
      <c r="J6" s="16">
        <v>0.7695875665454377</v>
      </c>
      <c r="K6" s="17">
        <v>0.78185263076503508</v>
      </c>
      <c r="L6" s="5"/>
      <c r="M6" s="5"/>
      <c r="N6" s="21">
        <v>0.71805191186929773</v>
      </c>
      <c r="O6" s="22">
        <v>0.59072615750908775</v>
      </c>
      <c r="P6" s="23">
        <v>0.66238928983368883</v>
      </c>
      <c r="Q6" s="5"/>
      <c r="R6" s="5"/>
      <c r="S6" s="27">
        <v>0.80067937039843895</v>
      </c>
      <c r="T6" s="10">
        <v>0.82941492959447738</v>
      </c>
      <c r="U6" s="11">
        <v>0.76327637377352042</v>
      </c>
      <c r="V6" s="5"/>
    </row>
    <row r="7" spans="2:22" x14ac:dyDescent="0.3">
      <c r="B7" s="5"/>
      <c r="C7" s="5"/>
      <c r="D7" s="9">
        <v>0.87547563781068971</v>
      </c>
      <c r="E7" s="10">
        <v>0.68219971991568296</v>
      </c>
      <c r="F7" s="11">
        <v>0.90872236096933645</v>
      </c>
      <c r="G7" s="5"/>
      <c r="H7" s="5"/>
      <c r="I7" s="15">
        <v>0.7819705417103846</v>
      </c>
      <c r="J7" s="16">
        <v>0.77616606942983168</v>
      </c>
      <c r="K7" s="17">
        <v>0.77983979940036552</v>
      </c>
      <c r="L7" s="5"/>
      <c r="M7" s="5"/>
      <c r="N7" s="21">
        <v>0.64249450543205067</v>
      </c>
      <c r="O7" s="22">
        <v>0.82555060533377922</v>
      </c>
      <c r="P7" s="23">
        <v>0.65798979171621375</v>
      </c>
      <c r="Q7" s="5"/>
      <c r="R7" s="5"/>
      <c r="S7" s="27">
        <v>0.75485647040650927</v>
      </c>
      <c r="T7" s="10">
        <v>0.80933037073921155</v>
      </c>
      <c r="U7" s="11">
        <v>0.88788188634374166</v>
      </c>
      <c r="V7" s="5"/>
    </row>
    <row r="8" spans="2:22" x14ac:dyDescent="0.3">
      <c r="B8" s="5"/>
      <c r="C8" s="5"/>
      <c r="D8" s="9">
        <v>0.72406993578539158</v>
      </c>
      <c r="E8" s="10">
        <v>0.70016690111054292</v>
      </c>
      <c r="F8" s="11">
        <v>0.67526205185160648</v>
      </c>
      <c r="G8" s="5"/>
      <c r="H8" s="5"/>
      <c r="I8" s="15">
        <v>0.79058759851448757</v>
      </c>
      <c r="J8" s="16">
        <v>0.78710080689619777</v>
      </c>
      <c r="K8" s="17">
        <v>0.77087961640686686</v>
      </c>
      <c r="L8" s="5"/>
      <c r="M8" s="5"/>
      <c r="N8" s="21">
        <v>0.71669386246115674</v>
      </c>
      <c r="O8" s="22">
        <v>0.72735844469446875</v>
      </c>
      <c r="P8" s="23">
        <v>0.78032664126126317</v>
      </c>
      <c r="Q8" s="5"/>
      <c r="R8" s="5"/>
      <c r="S8" s="27">
        <v>0.79329121392454804</v>
      </c>
      <c r="T8" s="10">
        <v>0.82443625325586867</v>
      </c>
      <c r="U8" s="11">
        <v>0.7741282693941659</v>
      </c>
      <c r="V8" s="5"/>
    </row>
    <row r="9" spans="2:22" x14ac:dyDescent="0.3">
      <c r="B9" s="5"/>
      <c r="C9" s="5"/>
      <c r="D9" s="9">
        <v>0.63297987555883162</v>
      </c>
      <c r="E9" s="10">
        <v>0.79353424422157781</v>
      </c>
      <c r="F9" s="11">
        <v>0.84822210254594532</v>
      </c>
      <c r="G9" s="5"/>
      <c r="H9" s="5"/>
      <c r="I9" s="15">
        <v>0.78438548328448232</v>
      </c>
      <c r="J9" s="16">
        <v>0.78960959806866016</v>
      </c>
      <c r="K9" s="17">
        <v>0.78195461525810095</v>
      </c>
      <c r="L9" s="5"/>
      <c r="M9" s="5"/>
      <c r="N9" s="21">
        <v>0.60397540237914515</v>
      </c>
      <c r="O9" s="22">
        <v>0.80996820841057615</v>
      </c>
      <c r="P9" s="23">
        <v>0.73201488444264406</v>
      </c>
      <c r="Q9" s="5"/>
      <c r="R9" s="5"/>
      <c r="S9" s="27">
        <v>0.81043313612056866</v>
      </c>
      <c r="T9" s="10">
        <v>0.90327784183617932</v>
      </c>
      <c r="U9" s="11">
        <v>0.81938832633754055</v>
      </c>
      <c r="V9" s="5"/>
    </row>
    <row r="10" spans="2:22" x14ac:dyDescent="0.3">
      <c r="B10" s="5"/>
      <c r="C10" s="5"/>
      <c r="D10" s="9">
        <v>0.72810141784287541</v>
      </c>
      <c r="E10" s="10">
        <v>0.88963525515414077</v>
      </c>
      <c r="F10" s="11">
        <v>0.98610269263933692</v>
      </c>
      <c r="G10" s="5"/>
      <c r="H10" s="5"/>
      <c r="I10" s="15">
        <v>0.78413433551963796</v>
      </c>
      <c r="J10" s="16">
        <v>0.78566671963790857</v>
      </c>
      <c r="K10" s="17">
        <v>0.78296822859778137</v>
      </c>
      <c r="L10" s="5"/>
      <c r="M10" s="5"/>
      <c r="N10" s="21">
        <v>0.73227181607087177</v>
      </c>
      <c r="O10" s="22">
        <v>0.59885117711748648</v>
      </c>
      <c r="P10" s="23">
        <v>0.6729886441295051</v>
      </c>
      <c r="Q10" s="5"/>
      <c r="R10" s="5"/>
      <c r="S10" s="27">
        <v>0.87982946771693749</v>
      </c>
      <c r="T10" s="10">
        <v>0.86167863657170418</v>
      </c>
      <c r="U10" s="11">
        <v>0.8080726092836229</v>
      </c>
      <c r="V10" s="5"/>
    </row>
    <row r="11" spans="2:22" x14ac:dyDescent="0.3">
      <c r="B11" s="5"/>
      <c r="C11" s="5"/>
      <c r="D11" s="9">
        <v>0.68470092153181539</v>
      </c>
      <c r="E11" s="10">
        <v>1.0922037008130392</v>
      </c>
      <c r="F11" s="11">
        <v>0.69561292816412434</v>
      </c>
      <c r="G11" s="5"/>
      <c r="H11" s="5"/>
      <c r="I11" s="15">
        <v>0.77577336159926291</v>
      </c>
      <c r="J11" s="16">
        <v>0.77675743715994805</v>
      </c>
      <c r="K11" s="17">
        <v>0.78773698587576435</v>
      </c>
      <c r="L11" s="5"/>
      <c r="M11" s="5"/>
      <c r="N11" s="21">
        <v>0.76846136536014553</v>
      </c>
      <c r="O11" s="22">
        <v>0.6748160236607964</v>
      </c>
      <c r="P11" s="23">
        <v>0.85701341102123507</v>
      </c>
      <c r="Q11" s="5"/>
      <c r="R11" s="5"/>
      <c r="S11" s="27">
        <v>0.84011192853204875</v>
      </c>
      <c r="T11" s="10">
        <v>0.84332931802563704</v>
      </c>
      <c r="U11" s="11">
        <v>0.71785545134296314</v>
      </c>
      <c r="V11" s="5"/>
    </row>
    <row r="12" spans="2:22" x14ac:dyDescent="0.3">
      <c r="B12" s="5"/>
      <c r="C12" s="5"/>
      <c r="D12" s="9">
        <v>0.92818973965196439</v>
      </c>
      <c r="E12" s="10">
        <v>0.860983942636527</v>
      </c>
      <c r="F12" s="11">
        <v>0.90541513526139061</v>
      </c>
      <c r="G12" s="5"/>
      <c r="H12" s="5"/>
      <c r="I12" s="15">
        <v>0.78629943116048384</v>
      </c>
      <c r="J12" s="16">
        <v>0.78345202473808917</v>
      </c>
      <c r="K12" s="17">
        <v>0.79332142360967739</v>
      </c>
      <c r="L12" s="5"/>
      <c r="M12" s="5"/>
      <c r="N12" s="21">
        <v>0.54120408648364604</v>
      </c>
      <c r="O12" s="22">
        <v>0.84996892014476388</v>
      </c>
      <c r="P12" s="23">
        <v>0.69353241112352126</v>
      </c>
      <c r="Q12" s="5"/>
      <c r="R12" s="5"/>
      <c r="S12" s="27">
        <v>0.75284102457419855</v>
      </c>
      <c r="T12" s="10">
        <v>0.77953194004470272</v>
      </c>
      <c r="U12" s="11">
        <v>0.78627776727690479</v>
      </c>
      <c r="V12" s="5"/>
    </row>
    <row r="13" spans="2:22" x14ac:dyDescent="0.3">
      <c r="B13" s="5"/>
      <c r="C13" s="5"/>
      <c r="D13" s="9">
        <v>0.67898179093021482</v>
      </c>
      <c r="E13" s="10">
        <v>0.82735500557719932</v>
      </c>
      <c r="F13" s="11">
        <v>0.65462835659156626</v>
      </c>
      <c r="G13" s="5"/>
      <c r="H13" s="5"/>
      <c r="I13" s="15">
        <v>0.79244664456818625</v>
      </c>
      <c r="J13" s="16">
        <v>0.78809652064321656</v>
      </c>
      <c r="K13" s="17">
        <v>0.79306893521767463</v>
      </c>
      <c r="L13" s="5"/>
      <c r="M13" s="5"/>
      <c r="N13" s="21">
        <v>0.81940813759501063</v>
      </c>
      <c r="O13" s="22">
        <v>0.527945380679544</v>
      </c>
      <c r="P13" s="23">
        <v>0.72532789026373023</v>
      </c>
      <c r="Q13" s="5"/>
      <c r="R13" s="5"/>
      <c r="S13" s="27">
        <v>0.91225654476931262</v>
      </c>
      <c r="T13" s="10">
        <v>0.77438341007494538</v>
      </c>
      <c r="U13" s="11">
        <v>0.7452196728058077</v>
      </c>
      <c r="V13" s="5"/>
    </row>
    <row r="14" spans="2:22" x14ac:dyDescent="0.3">
      <c r="B14" s="5"/>
      <c r="C14" s="5"/>
      <c r="D14" s="9">
        <v>0.71453995737892373</v>
      </c>
      <c r="E14" s="10">
        <v>0.59358821825637376</v>
      </c>
      <c r="F14" s="11">
        <v>0.81293875177087171</v>
      </c>
      <c r="G14" s="5"/>
      <c r="H14" s="5"/>
      <c r="I14" s="15">
        <v>0.7744047648680219</v>
      </c>
      <c r="J14" s="16">
        <v>0.78658987676063563</v>
      </c>
      <c r="K14" s="17">
        <v>0.7883520015634955</v>
      </c>
      <c r="L14" s="5"/>
      <c r="M14" s="5"/>
      <c r="N14" s="21">
        <v>0.58299400337417917</v>
      </c>
      <c r="O14" s="22">
        <v>0.71984965011766566</v>
      </c>
      <c r="P14" s="23">
        <v>0.68514958436084517</v>
      </c>
      <c r="Q14" s="5"/>
      <c r="R14" s="5"/>
      <c r="S14" s="27">
        <v>0.75970095516585134</v>
      </c>
      <c r="T14" s="10">
        <v>0.82558387476064499</v>
      </c>
      <c r="U14" s="11">
        <v>0.76381417603479806</v>
      </c>
      <c r="V14" s="5"/>
    </row>
    <row r="15" spans="2:22" x14ac:dyDescent="0.3">
      <c r="B15" s="5"/>
      <c r="C15" s="5"/>
      <c r="D15" s="9">
        <v>0.74109651875686278</v>
      </c>
      <c r="E15" s="10">
        <v>0.90486879383179653</v>
      </c>
      <c r="F15" s="11">
        <v>0.65917966128677052</v>
      </c>
      <c r="G15" s="5"/>
      <c r="H15" s="5"/>
      <c r="I15" s="15">
        <v>0.78450480206353346</v>
      </c>
      <c r="J15" s="16">
        <v>0.77594429491838879</v>
      </c>
      <c r="K15" s="17">
        <v>0.77022005819517847</v>
      </c>
      <c r="L15" s="5"/>
      <c r="M15" s="5"/>
      <c r="N15" s="21">
        <v>0.69005391595389121</v>
      </c>
      <c r="O15" s="22">
        <v>0.74640714707233402</v>
      </c>
      <c r="P15" s="23">
        <v>0.72388270591949266</v>
      </c>
      <c r="Q15" s="5"/>
      <c r="R15" s="5"/>
      <c r="S15" s="27">
        <v>0.81893710051171797</v>
      </c>
      <c r="T15" s="10">
        <v>0.76455013871967348</v>
      </c>
      <c r="U15" s="11">
        <v>0.77363531270981023</v>
      </c>
      <c r="V15" s="5"/>
    </row>
    <row r="16" spans="2:22" x14ac:dyDescent="0.3">
      <c r="B16" s="5"/>
      <c r="C16" s="5"/>
      <c r="D16" s="9">
        <v>0.69408176813925138</v>
      </c>
      <c r="E16" s="10">
        <v>0.73536230654811607</v>
      </c>
      <c r="F16" s="11">
        <v>0.88210484106554188</v>
      </c>
      <c r="G16" s="5"/>
      <c r="H16" s="5"/>
      <c r="I16" s="15">
        <v>0.77513130683632636</v>
      </c>
      <c r="J16" s="16">
        <v>0.78625696433356795</v>
      </c>
      <c r="K16" s="17">
        <v>0.78759083024827203</v>
      </c>
      <c r="L16" s="5"/>
      <c r="M16" s="5"/>
      <c r="N16" s="21">
        <v>0.83548965434455102</v>
      </c>
      <c r="O16" s="22">
        <v>0.67605271641663922</v>
      </c>
      <c r="P16" s="23">
        <v>0.56640871522947733</v>
      </c>
      <c r="Q16" s="5"/>
      <c r="R16" s="5"/>
      <c r="S16" s="27">
        <v>0.76559345827345271</v>
      </c>
      <c r="T16" s="10">
        <v>0.85458278192047021</v>
      </c>
      <c r="U16" s="11">
        <v>0.77412910782747324</v>
      </c>
      <c r="V16" s="5"/>
    </row>
    <row r="17" spans="2:22" x14ac:dyDescent="0.3">
      <c r="B17" s="5"/>
      <c r="C17" s="5"/>
      <c r="D17" s="9">
        <v>1.1656198530389452</v>
      </c>
      <c r="E17" s="10">
        <v>0.79667973607242726</v>
      </c>
      <c r="F17" s="11">
        <v>0.67471206003993123</v>
      </c>
      <c r="G17" s="5"/>
      <c r="H17" s="5"/>
      <c r="I17" s="15">
        <v>0.78581517083144037</v>
      </c>
      <c r="J17" s="16">
        <v>0.78409601716901489</v>
      </c>
      <c r="K17" s="17">
        <v>0.79194304911106062</v>
      </c>
      <c r="L17" s="5"/>
      <c r="M17" s="5"/>
      <c r="N17" s="21">
        <v>0.64912494214313288</v>
      </c>
      <c r="O17" s="22">
        <v>0.82530165277203926</v>
      </c>
      <c r="P17" s="23">
        <v>0.68371506639268298</v>
      </c>
      <c r="Q17" s="5"/>
      <c r="R17" s="5"/>
      <c r="S17" s="27">
        <v>0.77929396497833225</v>
      </c>
      <c r="T17" s="10">
        <v>0.73399916248417563</v>
      </c>
      <c r="U17" s="11">
        <v>0.79551781991313897</v>
      </c>
      <c r="V17" s="5"/>
    </row>
    <row r="18" spans="2:22" x14ac:dyDescent="0.3">
      <c r="B18" s="5"/>
      <c r="C18" s="5"/>
      <c r="D18" s="9">
        <v>0.87158752676132301</v>
      </c>
      <c r="E18" s="10">
        <v>0.77028143042092601</v>
      </c>
      <c r="F18" s="11">
        <v>0.83744554841264363</v>
      </c>
      <c r="G18" s="5"/>
      <c r="H18" s="5"/>
      <c r="I18" s="15">
        <v>0.78166438771801605</v>
      </c>
      <c r="J18" s="16">
        <v>0.77714519940750393</v>
      </c>
      <c r="K18" s="17">
        <v>0.7748826904003977</v>
      </c>
      <c r="L18" s="5"/>
      <c r="M18" s="5"/>
      <c r="N18" s="21">
        <v>0.61725039886509847</v>
      </c>
      <c r="O18" s="22">
        <v>0.62438530564471428</v>
      </c>
      <c r="P18" s="23">
        <v>0.65313614074078419</v>
      </c>
      <c r="Q18" s="5"/>
      <c r="R18" s="5"/>
      <c r="S18" s="27">
        <v>0.83995716665647713</v>
      </c>
      <c r="T18" s="10">
        <v>0.86620861818235828</v>
      </c>
      <c r="U18" s="11">
        <v>0.83670358929378141</v>
      </c>
      <c r="V18" s="5"/>
    </row>
    <row r="19" spans="2:22" x14ac:dyDescent="0.3">
      <c r="B19" s="5"/>
      <c r="C19" s="5"/>
      <c r="D19" s="9">
        <v>0.7359898552219124</v>
      </c>
      <c r="E19" s="10">
        <v>0.89583761971119147</v>
      </c>
      <c r="F19" s="11">
        <v>0.76008517296793288</v>
      </c>
      <c r="G19" s="5"/>
      <c r="H19" s="5"/>
      <c r="I19" s="15">
        <v>0.7830749900239059</v>
      </c>
      <c r="J19" s="16">
        <v>0.78437500631457768</v>
      </c>
      <c r="K19" s="17">
        <v>0.79526822433263533</v>
      </c>
      <c r="L19" s="5"/>
      <c r="M19" s="5"/>
      <c r="N19" s="21">
        <v>0.77699367333566471</v>
      </c>
      <c r="O19" s="22">
        <v>0.83276189096263642</v>
      </c>
      <c r="P19" s="23">
        <v>0.66116873531712472</v>
      </c>
      <c r="Q19" s="5"/>
      <c r="R19" s="5"/>
      <c r="S19" s="27">
        <v>0.83344262697915983</v>
      </c>
      <c r="T19" s="10">
        <v>0.75781066170377887</v>
      </c>
      <c r="U19" s="11">
        <v>0.85320345971057754</v>
      </c>
      <c r="V19" s="5"/>
    </row>
    <row r="20" spans="2:22" x14ac:dyDescent="0.3">
      <c r="B20" s="5"/>
      <c r="C20" s="5"/>
      <c r="D20" s="9">
        <v>0.75570432802791443</v>
      </c>
      <c r="E20" s="10">
        <v>0.75741476432032884</v>
      </c>
      <c r="F20" s="11">
        <v>1.1075568516326613</v>
      </c>
      <c r="G20" s="5"/>
      <c r="H20" s="5"/>
      <c r="I20" s="15">
        <v>0.78673363952715492</v>
      </c>
      <c r="J20" s="16">
        <v>0.78113505027577024</v>
      </c>
      <c r="K20" s="17">
        <v>0.78254122348540933</v>
      </c>
      <c r="L20" s="5"/>
      <c r="M20" s="5"/>
      <c r="N20" s="21">
        <v>0.62654862086680541</v>
      </c>
      <c r="O20" s="22">
        <v>0.55504101828190666</v>
      </c>
      <c r="P20" s="23">
        <v>0.67512283700384235</v>
      </c>
      <c r="Q20" s="5"/>
      <c r="R20" s="5"/>
      <c r="S20" s="27">
        <v>0.7727113027243826</v>
      </c>
      <c r="T20" s="10">
        <v>0.81658680672730022</v>
      </c>
      <c r="U20" s="11">
        <v>0.77391873807694511</v>
      </c>
      <c r="V20" s="5"/>
    </row>
    <row r="21" spans="2:22" x14ac:dyDescent="0.3">
      <c r="B21" s="5"/>
      <c r="C21" s="5"/>
      <c r="D21" s="9">
        <v>0.7581022276380579</v>
      </c>
      <c r="E21" s="10">
        <v>0.864730828297677</v>
      </c>
      <c r="F21" s="11">
        <v>0.75269185755491819</v>
      </c>
      <c r="G21" s="5"/>
      <c r="H21" s="5"/>
      <c r="I21" s="15">
        <v>0.77232951102605096</v>
      </c>
      <c r="J21" s="16">
        <v>0.79134848712462302</v>
      </c>
      <c r="K21" s="17">
        <v>0.77832188675981573</v>
      </c>
      <c r="L21" s="5"/>
      <c r="M21" s="5"/>
      <c r="N21" s="21">
        <v>0.67553569634531851</v>
      </c>
      <c r="O21" s="22">
        <v>0.79579328618384082</v>
      </c>
      <c r="P21" s="23">
        <v>0.81699916937783124</v>
      </c>
      <c r="Q21" s="5"/>
      <c r="R21" s="5"/>
      <c r="S21" s="27">
        <v>0.76192139730637376</v>
      </c>
      <c r="T21" s="10">
        <v>0.81765825172735818</v>
      </c>
      <c r="U21" s="11">
        <v>0.86840037515308965</v>
      </c>
      <c r="V21" s="5"/>
    </row>
    <row r="22" spans="2:22" x14ac:dyDescent="0.3">
      <c r="B22" s="5"/>
      <c r="C22" s="5"/>
      <c r="D22" s="9">
        <v>0.95445628158102824</v>
      </c>
      <c r="E22" s="10">
        <v>0.79349597005035177</v>
      </c>
      <c r="F22" s="11">
        <v>0.72825986039125701</v>
      </c>
      <c r="G22" s="5"/>
      <c r="H22" s="5"/>
      <c r="I22" s="15">
        <v>0.78049768492239135</v>
      </c>
      <c r="J22" s="16">
        <v>0.78498285580850191</v>
      </c>
      <c r="K22" s="17">
        <v>0.78578478838420751</v>
      </c>
      <c r="L22" s="5"/>
      <c r="M22" s="5"/>
      <c r="N22" s="21">
        <v>0.77174336653311049</v>
      </c>
      <c r="O22" s="22">
        <v>0.81396598635578254</v>
      </c>
      <c r="P22" s="23">
        <v>0.69971669027180472</v>
      </c>
      <c r="Q22" s="5"/>
      <c r="R22" s="5"/>
      <c r="S22" s="27">
        <v>0.87779860923391395</v>
      </c>
      <c r="T22" s="10">
        <v>0.83608122143816888</v>
      </c>
      <c r="U22" s="11">
        <v>0.75804030898838348</v>
      </c>
      <c r="V22" s="5"/>
    </row>
    <row r="23" spans="2:22" x14ac:dyDescent="0.3">
      <c r="B23" s="5"/>
      <c r="C23" s="5"/>
      <c r="D23" s="9">
        <v>0.83610676710999798</v>
      </c>
      <c r="E23" s="10">
        <v>0.90348774908872564</v>
      </c>
      <c r="F23" s="11">
        <v>0.68721639160129033</v>
      </c>
      <c r="G23" s="5"/>
      <c r="H23" s="5"/>
      <c r="I23" s="15">
        <v>0.77977295128151147</v>
      </c>
      <c r="J23" s="16">
        <v>0.777861934772337</v>
      </c>
      <c r="K23" s="17">
        <v>0.77893842774815436</v>
      </c>
      <c r="L23" s="5"/>
      <c r="M23" s="5"/>
      <c r="N23" s="21">
        <v>0.84419692905359789</v>
      </c>
      <c r="O23" s="22">
        <v>0.8074689356651471</v>
      </c>
      <c r="P23" s="23">
        <v>0.81277124372152576</v>
      </c>
      <c r="Q23" s="5"/>
      <c r="R23" s="5"/>
      <c r="S23" s="27">
        <v>0.75464212465703884</v>
      </c>
      <c r="T23" s="10">
        <v>0.85379558853355708</v>
      </c>
      <c r="U23" s="11">
        <v>0.77046703404802808</v>
      </c>
      <c r="V23" s="5"/>
    </row>
    <row r="24" spans="2:22" x14ac:dyDescent="0.3">
      <c r="B24" s="5"/>
      <c r="C24" s="5"/>
      <c r="D24" s="9">
        <v>0.88044817681786247</v>
      </c>
      <c r="E24" s="10">
        <v>1.0721743890197493</v>
      </c>
      <c r="F24" s="11">
        <v>1.0382390558185075</v>
      </c>
      <c r="G24" s="5"/>
      <c r="H24" s="5"/>
      <c r="I24" s="15">
        <v>0.7937404338940709</v>
      </c>
      <c r="J24" s="16">
        <v>0.78397217143943809</v>
      </c>
      <c r="K24" s="17">
        <v>0.7902549919991807</v>
      </c>
      <c r="L24" s="5"/>
      <c r="M24" s="5"/>
      <c r="N24" s="21">
        <v>0.66673146316988419</v>
      </c>
      <c r="O24" s="22">
        <v>0.77086870816407382</v>
      </c>
      <c r="P24" s="23">
        <v>0.62384517246086946</v>
      </c>
      <c r="Q24" s="5"/>
      <c r="R24" s="5"/>
      <c r="S24" s="27">
        <v>0.79534621033108877</v>
      </c>
      <c r="T24" s="10">
        <v>0.84700342657822114</v>
      </c>
      <c r="U24" s="11">
        <v>0.80966382732602948</v>
      </c>
      <c r="V24" s="5"/>
    </row>
    <row r="25" spans="2:22" x14ac:dyDescent="0.3">
      <c r="B25" s="5"/>
      <c r="C25" s="5"/>
      <c r="D25" s="9">
        <v>0.68296937057549212</v>
      </c>
      <c r="E25" s="10">
        <v>0.78130657735612752</v>
      </c>
      <c r="F25" s="11">
        <v>0.83115028927027446</v>
      </c>
      <c r="G25" s="5"/>
      <c r="H25" s="5"/>
      <c r="I25" s="15">
        <v>0.78119760599052601</v>
      </c>
      <c r="J25" s="16">
        <v>0.78675879215613886</v>
      </c>
      <c r="K25" s="17">
        <v>0.78332069621653388</v>
      </c>
      <c r="L25" s="5"/>
      <c r="M25" s="5"/>
      <c r="N25" s="21">
        <v>0.79658400928129591</v>
      </c>
      <c r="O25" s="22">
        <v>0.74134923583280121</v>
      </c>
      <c r="P25" s="23">
        <v>0.75644227261388741</v>
      </c>
      <c r="Q25" s="5"/>
      <c r="R25" s="5"/>
      <c r="S25" s="27">
        <v>0.79287152501364566</v>
      </c>
      <c r="T25" s="10">
        <v>0.82299561468881755</v>
      </c>
      <c r="U25" s="11">
        <v>0.80146995051124714</v>
      </c>
      <c r="V25" s="5"/>
    </row>
    <row r="26" spans="2:22" x14ac:dyDescent="0.3">
      <c r="B26" s="5"/>
      <c r="C26" s="5"/>
      <c r="D26" s="9">
        <v>0.69740358246311274</v>
      </c>
      <c r="E26" s="10">
        <v>0.73041767864198859</v>
      </c>
      <c r="F26" s="11">
        <v>0.73909577653358116</v>
      </c>
      <c r="G26" s="5"/>
      <c r="H26" s="5"/>
      <c r="I26" s="15">
        <v>0.79253808560129413</v>
      </c>
      <c r="J26" s="16">
        <v>0.78068138570432799</v>
      </c>
      <c r="K26" s="17">
        <v>0.79335350032668983</v>
      </c>
      <c r="L26" s="5"/>
      <c r="M26" s="5"/>
      <c r="N26" s="21">
        <v>0.67212848517090729</v>
      </c>
      <c r="O26" s="22">
        <v>0.61613022388123073</v>
      </c>
      <c r="P26" s="23">
        <v>0.90751763099909488</v>
      </c>
      <c r="Q26" s="5"/>
      <c r="R26" s="5"/>
      <c r="S26" s="27">
        <v>0.84096906942203697</v>
      </c>
      <c r="T26" s="10">
        <v>0.77319119421336235</v>
      </c>
      <c r="U26" s="11">
        <v>0.78319243135992389</v>
      </c>
      <c r="V26" s="5"/>
    </row>
    <row r="27" spans="2:22" x14ac:dyDescent="0.3">
      <c r="B27" s="5"/>
      <c r="C27" s="5"/>
      <c r="D27" s="9">
        <v>0.63517448906573626</v>
      </c>
      <c r="E27" s="10">
        <v>0.69906004911559028</v>
      </c>
      <c r="F27" s="11">
        <v>0.73334159706556878</v>
      </c>
      <c r="G27" s="5"/>
      <c r="H27" s="5"/>
      <c r="I27" s="15">
        <v>0.78249791933860835</v>
      </c>
      <c r="J27" s="16">
        <v>0.78452772579100538</v>
      </c>
      <c r="K27" s="17">
        <v>0.79327793650372425</v>
      </c>
      <c r="L27" s="5"/>
      <c r="M27" s="5"/>
      <c r="N27" s="21">
        <v>0.8427897923284815</v>
      </c>
      <c r="O27" s="22">
        <v>0.66620066778095566</v>
      </c>
      <c r="P27" s="23">
        <v>0.86757943480782307</v>
      </c>
      <c r="Q27" s="5"/>
      <c r="R27" s="5"/>
      <c r="S27" s="27">
        <v>0.80254748138904952</v>
      </c>
      <c r="T27" s="10">
        <v>0.82895478751080232</v>
      </c>
      <c r="U27" s="11">
        <v>0.69794676289710933</v>
      </c>
      <c r="V27" s="5"/>
    </row>
    <row r="28" spans="2:22" x14ac:dyDescent="0.3">
      <c r="B28" s="5"/>
      <c r="C28" s="5"/>
      <c r="D28" s="9">
        <v>0.65650246625486974</v>
      </c>
      <c r="E28" s="10">
        <v>0.82881948860984289</v>
      </c>
      <c r="F28" s="11">
        <v>0.82308786727631744</v>
      </c>
      <c r="G28" s="5"/>
      <c r="H28" s="5"/>
      <c r="I28" s="15">
        <v>0.78120243213916196</v>
      </c>
      <c r="J28" s="16">
        <v>0.77314631129110412</v>
      </c>
      <c r="K28" s="17">
        <v>0.78937849886944156</v>
      </c>
      <c r="L28" s="5"/>
      <c r="M28" s="5"/>
      <c r="N28" s="21">
        <v>0.70823794591463363</v>
      </c>
      <c r="O28" s="22">
        <v>0.62436321953660334</v>
      </c>
      <c r="P28" s="23">
        <v>0.66161530800797286</v>
      </c>
      <c r="Q28" s="5"/>
      <c r="R28" s="5"/>
      <c r="S28" s="27">
        <v>0.82166878589535286</v>
      </c>
      <c r="T28" s="10">
        <v>0.81756485784830113</v>
      </c>
      <c r="U28" s="11">
        <v>0.78138072965429739</v>
      </c>
      <c r="V28" s="5"/>
    </row>
    <row r="29" spans="2:22" x14ac:dyDescent="0.3">
      <c r="B29" s="5"/>
      <c r="C29" s="5"/>
      <c r="D29" s="9">
        <v>0.69795744314334185</v>
      </c>
      <c r="E29" s="10">
        <v>0.68740397922184382</v>
      </c>
      <c r="F29" s="11">
        <v>0.80578089112117957</v>
      </c>
      <c r="G29" s="5"/>
      <c r="H29" s="5"/>
      <c r="I29" s="15">
        <v>0.78482354662532361</v>
      </c>
      <c r="J29" s="16">
        <v>0.77975124438842724</v>
      </c>
      <c r="K29" s="17">
        <v>0.78635624910966817</v>
      </c>
      <c r="L29" s="5"/>
      <c r="M29" s="5"/>
      <c r="N29" s="21">
        <v>0.73332790157115613</v>
      </c>
      <c r="O29" s="22">
        <v>0.70901559717569629</v>
      </c>
      <c r="P29" s="23">
        <v>0.67736329507161563</v>
      </c>
      <c r="Q29" s="5"/>
      <c r="R29" s="5"/>
      <c r="S29" s="27">
        <v>0.76895966084750644</v>
      </c>
      <c r="T29" s="10">
        <v>0.74085828113155716</v>
      </c>
      <c r="U29" s="11">
        <v>0.82850418695819417</v>
      </c>
      <c r="V29" s="5"/>
    </row>
    <row r="30" spans="2:22" x14ac:dyDescent="0.3">
      <c r="B30" s="5"/>
      <c r="C30" s="5"/>
      <c r="D30" s="9">
        <v>0.69101000656709699</v>
      </c>
      <c r="E30" s="10">
        <v>0.6964314668845194</v>
      </c>
      <c r="F30" s="11">
        <v>0.69101530175860815</v>
      </c>
      <c r="G30" s="5"/>
      <c r="H30" s="5"/>
      <c r="I30" s="15">
        <v>0.78203042241826737</v>
      </c>
      <c r="J30" s="16">
        <v>0.7842776356663117</v>
      </c>
      <c r="K30" s="17">
        <v>0.78055838572354153</v>
      </c>
      <c r="L30" s="5"/>
      <c r="M30" s="5"/>
      <c r="N30" s="21">
        <v>0.69031577588422754</v>
      </c>
      <c r="O30" s="22">
        <v>0.71102036107850974</v>
      </c>
      <c r="P30" s="23">
        <v>0.82712794228848385</v>
      </c>
      <c r="Q30" s="5"/>
      <c r="R30" s="5"/>
      <c r="S30" s="27">
        <v>0.79950068269902452</v>
      </c>
      <c r="T30" s="10">
        <v>0.71168305620581607</v>
      </c>
      <c r="U30" s="11">
        <v>0.68693706810896304</v>
      </c>
      <c r="V30" s="5"/>
    </row>
    <row r="31" spans="2:22" x14ac:dyDescent="0.3">
      <c r="B31" s="5"/>
      <c r="C31" s="5"/>
      <c r="D31" s="9">
        <v>0.84475334897341126</v>
      </c>
      <c r="E31" s="10">
        <v>0.71764099424777905</v>
      </c>
      <c r="F31" s="11">
        <v>0.6463343889665899</v>
      </c>
      <c r="G31" s="5"/>
      <c r="H31" s="5"/>
      <c r="I31" s="15">
        <v>0.78941501137503811</v>
      </c>
      <c r="J31" s="16">
        <v>0.79649593311821565</v>
      </c>
      <c r="K31" s="17">
        <v>0.7794948571117094</v>
      </c>
      <c r="L31" s="5"/>
      <c r="M31" s="5"/>
      <c r="N31" s="21">
        <v>0.72486262672600688</v>
      </c>
      <c r="O31" s="22">
        <v>0.71561057186422983</v>
      </c>
      <c r="P31" s="23">
        <v>0.7711229923158901</v>
      </c>
      <c r="Q31" s="5"/>
      <c r="R31" s="5"/>
      <c r="S31" s="27">
        <v>0.70983746280086346</v>
      </c>
      <c r="T31" s="10">
        <v>0.73645652091953262</v>
      </c>
      <c r="U31" s="11">
        <v>0.74521860276911911</v>
      </c>
      <c r="V31" s="5"/>
    </row>
    <row r="32" spans="2:22" x14ac:dyDescent="0.3">
      <c r="B32" s="5"/>
      <c r="C32" s="5"/>
      <c r="D32" s="9">
        <v>0.89459335933615458</v>
      </c>
      <c r="E32" s="10">
        <v>0.94988068766411571</v>
      </c>
      <c r="F32" s="11">
        <v>0.75595564442967933</v>
      </c>
      <c r="G32" s="5"/>
      <c r="H32" s="5"/>
      <c r="I32" s="15">
        <v>0.78781690849914043</v>
      </c>
      <c r="J32" s="16">
        <v>0.79001814569656614</v>
      </c>
      <c r="K32" s="17">
        <v>0.79058727007755569</v>
      </c>
      <c r="L32" s="5"/>
      <c r="M32" s="5"/>
      <c r="N32" s="21">
        <v>0.75047493198442461</v>
      </c>
      <c r="O32" s="22">
        <v>0.62207545318622215</v>
      </c>
      <c r="P32" s="23">
        <v>0.73058354655107549</v>
      </c>
      <c r="Q32" s="5"/>
      <c r="R32" s="5"/>
      <c r="S32" s="27">
        <v>0.7472430691548968</v>
      </c>
      <c r="T32" s="10">
        <v>0.65829852315636717</v>
      </c>
      <c r="U32" s="11">
        <v>0.74497503427748535</v>
      </c>
      <c r="V32" s="5"/>
    </row>
    <row r="33" spans="2:22" x14ac:dyDescent="0.3">
      <c r="B33" s="5"/>
      <c r="C33" s="5"/>
      <c r="D33" s="9">
        <v>0.76635206656485555</v>
      </c>
      <c r="E33" s="10">
        <v>0.72971943605225476</v>
      </c>
      <c r="F33" s="11">
        <v>0.65444876624332404</v>
      </c>
      <c r="G33" s="5"/>
      <c r="H33" s="5"/>
      <c r="I33" s="15">
        <v>0.77935389802531529</v>
      </c>
      <c r="J33" s="16">
        <v>0.79074480999972208</v>
      </c>
      <c r="K33" s="17">
        <v>0.78592731212172184</v>
      </c>
      <c r="L33" s="5"/>
      <c r="M33" s="5"/>
      <c r="N33" s="21">
        <v>0.60278697546948556</v>
      </c>
      <c r="O33" s="22">
        <v>0.70200187753530019</v>
      </c>
      <c r="P33" s="23">
        <v>0.56394995510438395</v>
      </c>
      <c r="Q33" s="5"/>
      <c r="R33" s="5"/>
      <c r="S33" s="27">
        <v>0.88601694043079127</v>
      </c>
      <c r="T33" s="10">
        <v>0.71085171176968953</v>
      </c>
      <c r="U33" s="11">
        <v>0.85824240218433845</v>
      </c>
      <c r="V33" s="5"/>
    </row>
    <row r="34" spans="2:22" x14ac:dyDescent="0.3">
      <c r="B34" s="5"/>
      <c r="C34" s="5"/>
      <c r="D34" s="9">
        <v>0.77242194458617575</v>
      </c>
      <c r="E34" s="10">
        <v>0.75985099408025658</v>
      </c>
      <c r="F34" s="11">
        <v>0.89465523642537204</v>
      </c>
      <c r="G34" s="5"/>
      <c r="H34" s="5"/>
      <c r="I34" s="15">
        <v>0.77348608561291288</v>
      </c>
      <c r="J34" s="16">
        <v>0.78668909287902822</v>
      </c>
      <c r="K34" s="17">
        <v>0.77911505900591838</v>
      </c>
      <c r="L34" s="5"/>
      <c r="M34" s="5"/>
      <c r="N34" s="21">
        <v>0.71769431680732143</v>
      </c>
      <c r="O34" s="22">
        <v>0.70263018319760184</v>
      </c>
      <c r="P34" s="23">
        <v>0.83756023670783408</v>
      </c>
      <c r="Q34" s="5"/>
      <c r="R34" s="5"/>
      <c r="S34" s="27">
        <v>0.8176480813596726</v>
      </c>
      <c r="T34" s="10">
        <v>0.72786666756465701</v>
      </c>
      <c r="U34" s="11">
        <v>0.81692060860290172</v>
      </c>
      <c r="V34" s="5"/>
    </row>
    <row r="35" spans="2:22" x14ac:dyDescent="0.3">
      <c r="B35" s="5"/>
      <c r="C35" s="5"/>
      <c r="D35" s="9">
        <v>0.85560280252478405</v>
      </c>
      <c r="E35" s="10">
        <v>0.85355030569468238</v>
      </c>
      <c r="F35" s="11">
        <v>0.93059954698038416</v>
      </c>
      <c r="G35" s="5"/>
      <c r="H35" s="5"/>
      <c r="I35" s="15">
        <v>0.78951107650591268</v>
      </c>
      <c r="J35" s="16">
        <v>0.78273078908516103</v>
      </c>
      <c r="K35" s="17">
        <v>0.78121584195367322</v>
      </c>
      <c r="L35" s="5"/>
      <c r="M35" s="5"/>
      <c r="N35" s="21">
        <v>0.66469863420654174</v>
      </c>
      <c r="O35" s="22">
        <v>0.84967460904666658</v>
      </c>
      <c r="P35" s="23">
        <v>0.91485972252880721</v>
      </c>
      <c r="Q35" s="5"/>
      <c r="R35" s="5"/>
      <c r="S35" s="27">
        <v>0.74328633626919827</v>
      </c>
      <c r="T35" s="10">
        <v>0.86311944105217875</v>
      </c>
      <c r="U35" s="11">
        <v>0.75030902607457273</v>
      </c>
      <c r="V35" s="5"/>
    </row>
    <row r="36" spans="2:22" x14ac:dyDescent="0.3">
      <c r="B36" s="5"/>
      <c r="C36" s="5"/>
      <c r="D36" s="9">
        <v>0.71072909273018459</v>
      </c>
      <c r="E36" s="10">
        <v>0.87872130150061767</v>
      </c>
      <c r="F36" s="11">
        <v>0.79737285950306869</v>
      </c>
      <c r="G36" s="5"/>
      <c r="H36" s="5"/>
      <c r="I36" s="15">
        <v>0.78386320032486534</v>
      </c>
      <c r="J36" s="16">
        <v>0.78295414845967004</v>
      </c>
      <c r="K36" s="17">
        <v>0.77831620458662798</v>
      </c>
      <c r="L36" s="5"/>
      <c r="M36" s="5"/>
      <c r="N36" s="21">
        <v>0.68141174875983812</v>
      </c>
      <c r="O36" s="22">
        <v>0.6956082571825204</v>
      </c>
      <c r="P36" s="23">
        <v>0.72398555474956339</v>
      </c>
      <c r="Q36" s="5"/>
      <c r="R36" s="5"/>
      <c r="S36" s="27">
        <v>0.79750705268710476</v>
      </c>
      <c r="T36" s="10">
        <v>0.79905300983948457</v>
      </c>
      <c r="U36" s="11">
        <v>0.7666094905755938</v>
      </c>
      <c r="V36" s="5"/>
    </row>
    <row r="37" spans="2:22" x14ac:dyDescent="0.3">
      <c r="B37" s="5"/>
      <c r="C37" s="5"/>
      <c r="D37" s="9">
        <v>0.70636546113202703</v>
      </c>
      <c r="E37" s="10">
        <v>0.78274340946325416</v>
      </c>
      <c r="F37" s="11">
        <v>0.79517591047313763</v>
      </c>
      <c r="G37" s="5"/>
      <c r="H37" s="5"/>
      <c r="I37" s="15">
        <v>0.7903407097488695</v>
      </c>
      <c r="J37" s="16">
        <v>0.79335015592962943</v>
      </c>
      <c r="K37" s="17">
        <v>0.78759936377054174</v>
      </c>
      <c r="L37" s="5"/>
      <c r="M37" s="5"/>
      <c r="N37" s="21">
        <v>0.80929380050193866</v>
      </c>
      <c r="O37" s="22">
        <v>0.74993873527074284</v>
      </c>
      <c r="P37" s="23">
        <v>0.67037485236895256</v>
      </c>
      <c r="Q37" s="5"/>
      <c r="R37" s="5"/>
      <c r="S37" s="27">
        <v>0.77686382239819785</v>
      </c>
      <c r="T37" s="10">
        <v>0.74849731347051851</v>
      </c>
      <c r="U37" s="11">
        <v>0.79688137368712586</v>
      </c>
      <c r="V37" s="5"/>
    </row>
    <row r="38" spans="2:22" x14ac:dyDescent="0.3">
      <c r="B38" s="5"/>
      <c r="C38" s="5"/>
      <c r="D38" s="9">
        <v>0.70629671872937028</v>
      </c>
      <c r="E38" s="10">
        <v>0.96618488968034955</v>
      </c>
      <c r="F38" s="11">
        <v>0.93711412612224643</v>
      </c>
      <c r="G38" s="5"/>
      <c r="H38" s="5"/>
      <c r="I38" s="15">
        <v>0.7824247755351712</v>
      </c>
      <c r="J38" s="16">
        <v>0.7831636629097265</v>
      </c>
      <c r="K38" s="17">
        <v>0.78202452393090527</v>
      </c>
      <c r="L38" s="5"/>
      <c r="M38" s="5"/>
      <c r="N38" s="21">
        <v>0.5500980776648452</v>
      </c>
      <c r="O38" s="22">
        <v>0.61100373599985602</v>
      </c>
      <c r="P38" s="23">
        <v>0.61890696620919572</v>
      </c>
      <c r="Q38" s="5"/>
      <c r="R38" s="5"/>
      <c r="S38" s="27">
        <v>0.84211010653546381</v>
      </c>
      <c r="T38" s="10">
        <v>0.78047105074080558</v>
      </c>
      <c r="U38" s="11">
        <v>0.75613389545154519</v>
      </c>
      <c r="V38" s="5"/>
    </row>
    <row r="39" spans="2:22" x14ac:dyDescent="0.3">
      <c r="B39" s="5"/>
      <c r="C39" s="5"/>
      <c r="D39" s="9">
        <v>0.81346049402000842</v>
      </c>
      <c r="E39" s="10">
        <v>0.82310661900043014</v>
      </c>
      <c r="F39" s="11">
        <v>0.7404645305318649</v>
      </c>
      <c r="G39" s="5"/>
      <c r="H39" s="5"/>
      <c r="I39" s="15">
        <v>0.78417119537109758</v>
      </c>
      <c r="J39" s="16">
        <v>0.78963990363307801</v>
      </c>
      <c r="K39" s="17">
        <v>0.78685775884089448</v>
      </c>
      <c r="L39" s="5"/>
      <c r="M39" s="5"/>
      <c r="N39" s="21">
        <v>0.8644984826257287</v>
      </c>
      <c r="O39" s="22">
        <v>0.58989223123566725</v>
      </c>
      <c r="P39" s="23">
        <v>0.82182256817812516</v>
      </c>
      <c r="Q39" s="5"/>
      <c r="R39" s="5"/>
      <c r="S39" s="27">
        <v>0.70956122434287217</v>
      </c>
      <c r="T39" s="10">
        <v>0.71474128005404469</v>
      </c>
      <c r="U39" s="11">
        <v>0.77730979622469787</v>
      </c>
      <c r="V39" s="5"/>
    </row>
    <row r="40" spans="2:22" x14ac:dyDescent="0.3">
      <c r="B40" s="5"/>
      <c r="C40" s="5"/>
      <c r="D40" s="9">
        <v>0.75450971731688021</v>
      </c>
      <c r="E40" s="10">
        <v>0.75857922920287368</v>
      </c>
      <c r="F40" s="11">
        <v>0.83679646507441452</v>
      </c>
      <c r="G40" s="5"/>
      <c r="H40" s="5"/>
      <c r="I40" s="15">
        <v>0.78354242864169055</v>
      </c>
      <c r="J40" s="16">
        <v>0.77843598657101865</v>
      </c>
      <c r="K40" s="17">
        <v>0.78662207765134851</v>
      </c>
      <c r="L40" s="5"/>
      <c r="M40" s="5"/>
      <c r="N40" s="21">
        <v>0.7057132332022088</v>
      </c>
      <c r="O40" s="22">
        <v>0.72359344395142311</v>
      </c>
      <c r="P40" s="23">
        <v>0.70840580138773457</v>
      </c>
      <c r="Q40" s="5"/>
      <c r="R40" s="5"/>
      <c r="S40" s="27">
        <v>0.83925356700102627</v>
      </c>
      <c r="T40" s="10">
        <v>0.7220251018063254</v>
      </c>
      <c r="U40" s="11">
        <v>0.7825263144895146</v>
      </c>
      <c r="V40" s="5"/>
    </row>
    <row r="41" spans="2:22" x14ac:dyDescent="0.3">
      <c r="B41" s="5"/>
      <c r="C41" s="5"/>
      <c r="D41" s="9">
        <v>0.83132152783635727</v>
      </c>
      <c r="E41" s="10">
        <v>0.85475279173566709</v>
      </c>
      <c r="F41" s="11">
        <v>0.74841021975045363</v>
      </c>
      <c r="G41" s="5"/>
      <c r="H41" s="5"/>
      <c r="I41" s="15">
        <v>0.77749378777950684</v>
      </c>
      <c r="J41" s="16">
        <v>0.78899473242149243</v>
      </c>
      <c r="K41" s="17">
        <v>0.78334159073677156</v>
      </c>
      <c r="L41" s="5"/>
      <c r="M41" s="5"/>
      <c r="N41" s="21">
        <v>0.65733630360885964</v>
      </c>
      <c r="O41" s="22">
        <v>0.66606951457144425</v>
      </c>
      <c r="P41" s="23">
        <v>0.82428107575702259</v>
      </c>
      <c r="Q41" s="5"/>
      <c r="R41" s="5"/>
      <c r="S41" s="27">
        <v>0.80805661893649516</v>
      </c>
      <c r="T41" s="10">
        <v>0.78311851106896457</v>
      </c>
      <c r="U41" s="11">
        <v>0.76529050585783942</v>
      </c>
      <c r="V41" s="5"/>
    </row>
    <row r="42" spans="2:22" x14ac:dyDescent="0.3">
      <c r="B42" s="5"/>
      <c r="C42" s="5"/>
      <c r="D42" s="9">
        <v>0.70021700697153388</v>
      </c>
      <c r="E42" s="10">
        <v>0.66649445943337216</v>
      </c>
      <c r="F42" s="11">
        <v>0.8328550839074913</v>
      </c>
      <c r="G42" s="5"/>
      <c r="H42" s="5"/>
      <c r="I42" s="15">
        <v>0.78194531384844146</v>
      </c>
      <c r="J42" s="16">
        <v>0.77059310020369398</v>
      </c>
      <c r="K42" s="17">
        <v>0.78647526489087072</v>
      </c>
      <c r="L42" s="5"/>
      <c r="M42" s="5"/>
      <c r="N42" s="21">
        <v>0.54793276631265442</v>
      </c>
      <c r="O42" s="22">
        <v>0.65850979295003709</v>
      </c>
      <c r="P42" s="23">
        <v>0.83908138256634002</v>
      </c>
      <c r="Q42" s="5"/>
      <c r="R42" s="5"/>
      <c r="S42" s="27">
        <v>0.73292090795238884</v>
      </c>
      <c r="T42" s="10">
        <v>0.7165721125352793</v>
      </c>
      <c r="U42" s="11">
        <v>0.77108589999801092</v>
      </c>
      <c r="V42" s="5"/>
    </row>
    <row r="43" spans="2:22" x14ac:dyDescent="0.3">
      <c r="B43" s="5"/>
      <c r="C43" s="5"/>
      <c r="D43" s="9">
        <v>0.79152450211248904</v>
      </c>
      <c r="E43" s="10">
        <v>0.81109363910321608</v>
      </c>
      <c r="F43" s="11">
        <v>0.64074081827940077</v>
      </c>
      <c r="G43" s="5"/>
      <c r="H43" s="5"/>
      <c r="I43" s="15">
        <v>0.77254701271036863</v>
      </c>
      <c r="J43" s="16">
        <v>0.78528910835786336</v>
      </c>
      <c r="K43" s="17">
        <v>0.77631067378431884</v>
      </c>
      <c r="L43" s="5"/>
      <c r="M43" s="5"/>
      <c r="N43" s="21">
        <v>0.75826628295371679</v>
      </c>
      <c r="O43" s="22">
        <v>0.65176026728260528</v>
      </c>
      <c r="P43" s="23">
        <v>0.87989473828727738</v>
      </c>
      <c r="Q43" s="5"/>
      <c r="R43" s="5"/>
      <c r="S43" s="27">
        <v>0.77771818457913611</v>
      </c>
      <c r="T43" s="10">
        <v>0.83081669759214505</v>
      </c>
      <c r="U43" s="11">
        <v>0.7613079599335788</v>
      </c>
      <c r="V43" s="5"/>
    </row>
    <row r="44" spans="2:22" x14ac:dyDescent="0.3">
      <c r="B44" s="5"/>
      <c r="C44" s="5"/>
      <c r="D44" s="9">
        <v>0.83093298343239053</v>
      </c>
      <c r="E44" s="10">
        <v>0.75305626822983596</v>
      </c>
      <c r="F44" s="11">
        <v>0.68908569660891505</v>
      </c>
      <c r="G44" s="5"/>
      <c r="H44" s="5"/>
      <c r="I44" s="15">
        <v>0.78407132570302718</v>
      </c>
      <c r="J44" s="16">
        <v>0.79317125397609067</v>
      </c>
      <c r="K44" s="17">
        <v>0.77157055090713311</v>
      </c>
      <c r="L44" s="5"/>
      <c r="M44" s="5"/>
      <c r="N44" s="21">
        <v>0.62070982917745776</v>
      </c>
      <c r="O44" s="22">
        <v>0.67215185247856934</v>
      </c>
      <c r="P44" s="23">
        <v>0.68976884252345749</v>
      </c>
      <c r="Q44" s="5"/>
      <c r="R44" s="5"/>
      <c r="S44" s="27">
        <v>0.79739884101172809</v>
      </c>
      <c r="T44" s="10">
        <v>0.78529504969078501</v>
      </c>
      <c r="U44" s="11">
        <v>0.82345258362676033</v>
      </c>
      <c r="V44" s="5"/>
    </row>
    <row r="45" spans="2:22" x14ac:dyDescent="0.3">
      <c r="B45" s="5"/>
      <c r="C45" s="5"/>
      <c r="D45" s="9">
        <v>0.74785707672877255</v>
      </c>
      <c r="E45" s="10">
        <v>0.90775487411527178</v>
      </c>
      <c r="F45" s="11">
        <v>1.0058988124678359</v>
      </c>
      <c r="G45" s="5"/>
      <c r="H45" s="5"/>
      <c r="I45" s="15">
        <v>0.77081481692612164</v>
      </c>
      <c r="J45" s="16">
        <v>0.78088688130898587</v>
      </c>
      <c r="K45" s="17">
        <v>0.77522451307225815</v>
      </c>
      <c r="L45" s="5"/>
      <c r="M45" s="5"/>
      <c r="N45" s="21">
        <v>0.75925727614342531</v>
      </c>
      <c r="O45" s="22">
        <v>0.72075181825156875</v>
      </c>
      <c r="P45" s="23">
        <v>0.72165939727467598</v>
      </c>
      <c r="Q45" s="5"/>
      <c r="R45" s="5"/>
      <c r="S45" s="27">
        <v>0.71402994348523718</v>
      </c>
      <c r="T45" s="10">
        <v>0.73039839247932514</v>
      </c>
      <c r="U45" s="11">
        <v>0.77879396791091271</v>
      </c>
      <c r="V45" s="5"/>
    </row>
    <row r="46" spans="2:22" x14ac:dyDescent="0.3">
      <c r="B46" s="5"/>
      <c r="C46" s="5"/>
      <c r="D46" s="9">
        <v>0.65280804706063866</v>
      </c>
      <c r="E46" s="10">
        <v>0.69465055921809327</v>
      </c>
      <c r="F46" s="11">
        <v>0.85464281216921856</v>
      </c>
      <c r="G46" s="5"/>
      <c r="H46" s="5"/>
      <c r="I46" s="15">
        <v>0.78759599139861924</v>
      </c>
      <c r="J46" s="16">
        <v>0.77997716912930459</v>
      </c>
      <c r="K46" s="17">
        <v>0.78474835834977352</v>
      </c>
      <c r="L46" s="5"/>
      <c r="M46" s="5"/>
      <c r="N46" s="21">
        <v>0.67553673052728691</v>
      </c>
      <c r="O46" s="22">
        <v>0.63419695410220467</v>
      </c>
      <c r="P46" s="23">
        <v>0.69847546084093048</v>
      </c>
      <c r="Q46" s="5"/>
      <c r="R46" s="5"/>
      <c r="S46" s="27">
        <v>0.70583094123827184</v>
      </c>
      <c r="T46" s="10">
        <v>0.85194721748821622</v>
      </c>
      <c r="U46" s="11">
        <v>0.77408160280930383</v>
      </c>
      <c r="V46" s="5"/>
    </row>
    <row r="47" spans="2:22" x14ac:dyDescent="0.3">
      <c r="B47" s="5"/>
      <c r="C47" s="5"/>
      <c r="D47" s="9">
        <v>0.9047095720459799</v>
      </c>
      <c r="E47" s="10">
        <v>0.70433865680135466</v>
      </c>
      <c r="F47" s="11">
        <v>0.8001000210433773</v>
      </c>
      <c r="G47" s="5"/>
      <c r="H47" s="5"/>
      <c r="I47" s="15">
        <v>0.7925199562716928</v>
      </c>
      <c r="J47" s="16">
        <v>0.78677730443207783</v>
      </c>
      <c r="K47" s="17">
        <v>0.7801528408969064</v>
      </c>
      <c r="L47" s="5"/>
      <c r="M47" s="5"/>
      <c r="N47" s="21">
        <v>0.72404642410004283</v>
      </c>
      <c r="O47" s="22">
        <v>0.81928625782488196</v>
      </c>
      <c r="P47" s="23">
        <v>0.67465007927699139</v>
      </c>
      <c r="Q47" s="5"/>
      <c r="R47" s="5"/>
      <c r="S47" s="27">
        <v>0.88690998631680984</v>
      </c>
      <c r="T47" s="10">
        <v>0.81027047548750841</v>
      </c>
      <c r="U47" s="11">
        <v>0.66942946685353355</v>
      </c>
      <c r="V47" s="5"/>
    </row>
    <row r="48" spans="2:22" x14ac:dyDescent="0.3">
      <c r="B48" s="5"/>
      <c r="C48" s="5"/>
      <c r="D48" s="9">
        <v>0.81665649061393319</v>
      </c>
      <c r="E48" s="10">
        <v>0.93708188505784262</v>
      </c>
      <c r="F48" s="11">
        <v>0.81456494306056548</v>
      </c>
      <c r="G48" s="5"/>
      <c r="H48" s="5"/>
      <c r="I48" s="15">
        <v>0.78124442838784647</v>
      </c>
      <c r="J48" s="16">
        <v>0.78528526573319823</v>
      </c>
      <c r="K48" s="17">
        <v>0.79175346089679044</v>
      </c>
      <c r="L48" s="5"/>
      <c r="M48" s="5"/>
      <c r="N48" s="21">
        <v>0.57786872045943183</v>
      </c>
      <c r="O48" s="22">
        <v>0.68923819199037006</v>
      </c>
      <c r="P48" s="23">
        <v>0.65195907802000774</v>
      </c>
      <c r="Q48" s="5"/>
      <c r="R48" s="5"/>
      <c r="S48" s="27">
        <v>0.80422711501111821</v>
      </c>
      <c r="T48" s="10">
        <v>0.76782199706481435</v>
      </c>
      <c r="U48" s="11">
        <v>0.71361908074853142</v>
      </c>
      <c r="V48" s="5"/>
    </row>
    <row r="49" spans="2:22" x14ac:dyDescent="0.3">
      <c r="B49" s="5"/>
      <c r="C49" s="5"/>
      <c r="D49" s="9">
        <v>0.77344852406798204</v>
      </c>
      <c r="E49" s="10">
        <v>0.83517354559212664</v>
      </c>
      <c r="F49" s="11">
        <v>0.65600349021064597</v>
      </c>
      <c r="G49" s="5"/>
      <c r="H49" s="5"/>
      <c r="I49" s="15">
        <v>0.78149145131331821</v>
      </c>
      <c r="J49" s="16">
        <v>0.78244761554911368</v>
      </c>
      <c r="K49" s="17">
        <v>0.77820011801209055</v>
      </c>
      <c r="L49" s="5"/>
      <c r="M49" s="5"/>
      <c r="N49" s="21">
        <v>0.72166006787253711</v>
      </c>
      <c r="O49" s="22">
        <v>0.75034357092406145</v>
      </c>
      <c r="P49" s="23">
        <v>0.65151400790617198</v>
      </c>
      <c r="Q49" s="5"/>
      <c r="R49" s="5"/>
      <c r="S49" s="27">
        <v>0.78714291737462494</v>
      </c>
      <c r="T49" s="10">
        <v>0.73265300957458712</v>
      </c>
      <c r="U49" s="11">
        <v>0.78318553848253236</v>
      </c>
      <c r="V49" s="5"/>
    </row>
    <row r="50" spans="2:22" x14ac:dyDescent="0.3">
      <c r="B50" s="5"/>
      <c r="C50" s="5"/>
      <c r="D50" s="9">
        <v>0.90467097226641413</v>
      </c>
      <c r="E50" s="10">
        <v>0.92714250176653701</v>
      </c>
      <c r="F50" s="11">
        <v>0.70361800198633784</v>
      </c>
      <c r="G50" s="5"/>
      <c r="H50" s="5"/>
      <c r="I50" s="15">
        <v>0.79073293467185635</v>
      </c>
      <c r="J50" s="16">
        <v>0.77885143008887003</v>
      </c>
      <c r="K50" s="17">
        <v>0.7886944779848365</v>
      </c>
      <c r="L50" s="5"/>
      <c r="M50" s="5"/>
      <c r="N50" s="21">
        <v>0.66316580918840695</v>
      </c>
      <c r="O50" s="22">
        <v>0.77147699642216472</v>
      </c>
      <c r="P50" s="23">
        <v>0.6657961118981317</v>
      </c>
      <c r="Q50" s="5"/>
      <c r="R50" s="5"/>
      <c r="S50" s="27">
        <v>0.77030330659270363</v>
      </c>
      <c r="T50" s="10">
        <v>0.86408291489781541</v>
      </c>
      <c r="U50" s="11">
        <v>0.70706576174052171</v>
      </c>
      <c r="V50" s="5"/>
    </row>
    <row r="51" spans="2:22" x14ac:dyDescent="0.3">
      <c r="B51" s="5"/>
      <c r="C51" s="5"/>
      <c r="D51" s="9">
        <v>0.81875031947497678</v>
      </c>
      <c r="E51" s="10">
        <v>0.68782789612836892</v>
      </c>
      <c r="F51" s="11">
        <v>0.74653421543459386</v>
      </c>
      <c r="G51" s="5"/>
      <c r="H51" s="5"/>
      <c r="I51" s="15">
        <v>0.79158465144191692</v>
      </c>
      <c r="J51" s="16">
        <v>0.78830607141037123</v>
      </c>
      <c r="K51" s="17">
        <v>0.79171585548319767</v>
      </c>
      <c r="L51" s="5"/>
      <c r="M51" s="5"/>
      <c r="N51" s="21">
        <v>0.69228829200386932</v>
      </c>
      <c r="O51" s="22">
        <v>0.70732984930238585</v>
      </c>
      <c r="P51" s="23">
        <v>0.74842726966083473</v>
      </c>
      <c r="Q51" s="5"/>
      <c r="R51" s="5"/>
      <c r="S51" s="27">
        <v>0.80863453410864494</v>
      </c>
      <c r="T51" s="10">
        <v>0.76088644382914583</v>
      </c>
      <c r="U51" s="11">
        <v>0.8903539752575369</v>
      </c>
      <c r="V51" s="5"/>
    </row>
    <row r="52" spans="2:22" x14ac:dyDescent="0.3">
      <c r="B52" s="5"/>
      <c r="C52" s="5"/>
      <c r="D52" s="9">
        <v>1.0369185316258478</v>
      </c>
      <c r="E52" s="10">
        <v>0.53008377247359828</v>
      </c>
      <c r="F52" s="11">
        <v>0.64173399609890169</v>
      </c>
      <c r="G52" s="5"/>
      <c r="H52" s="5"/>
      <c r="I52" s="15">
        <v>0.77572151275755152</v>
      </c>
      <c r="J52" s="16">
        <v>0.78862616125982232</v>
      </c>
      <c r="K52" s="17">
        <v>0.7713559616418546</v>
      </c>
      <c r="L52" s="5"/>
      <c r="M52" s="5"/>
      <c r="N52" s="21">
        <v>0.70828093098186518</v>
      </c>
      <c r="O52" s="22">
        <v>0.6930256340036488</v>
      </c>
      <c r="P52" s="23">
        <v>0.62050106477028877</v>
      </c>
      <c r="Q52" s="5"/>
      <c r="R52" s="5"/>
      <c r="S52" s="27">
        <v>0.90018623944069376</v>
      </c>
      <c r="T52" s="10">
        <v>0.74327732121300683</v>
      </c>
      <c r="U52" s="11">
        <v>0.71736996665667463</v>
      </c>
      <c r="V52" s="5"/>
    </row>
    <row r="53" spans="2:22" x14ac:dyDescent="0.3">
      <c r="B53" s="5"/>
      <c r="C53" s="5"/>
      <c r="D53" s="9">
        <v>0.77010817234735018</v>
      </c>
      <c r="E53" s="10">
        <v>0.76837352112248403</v>
      </c>
      <c r="F53" s="11">
        <v>0.94101447187198461</v>
      </c>
      <c r="G53" s="5"/>
      <c r="H53" s="5"/>
      <c r="I53" s="15">
        <v>0.78174892556277653</v>
      </c>
      <c r="J53" s="16">
        <v>0.77965585742600851</v>
      </c>
      <c r="K53" s="17">
        <v>0.79191218439014843</v>
      </c>
      <c r="L53" s="5"/>
      <c r="M53" s="5"/>
      <c r="N53" s="21">
        <v>0.6659352617828147</v>
      </c>
      <c r="O53" s="22">
        <v>0.71635882426667041</v>
      </c>
      <c r="P53" s="23">
        <v>0.75485021600262836</v>
      </c>
      <c r="Q53" s="5"/>
      <c r="R53" s="5"/>
      <c r="S53" s="27">
        <v>0.6726153353942449</v>
      </c>
      <c r="T53" s="10">
        <v>0.75218851852384705</v>
      </c>
      <c r="U53" s="11">
        <v>0.75708818297196689</v>
      </c>
      <c r="V53" s="5"/>
    </row>
    <row r="54" spans="2:22" x14ac:dyDescent="0.3">
      <c r="B54" s="5"/>
      <c r="C54" s="5"/>
      <c r="D54" s="9">
        <v>0.92608458468600741</v>
      </c>
      <c r="E54" s="10">
        <v>0.64025768768053959</v>
      </c>
      <c r="F54" s="11">
        <v>0.85818231103600096</v>
      </c>
      <c r="G54" s="5"/>
      <c r="H54" s="5"/>
      <c r="I54" s="15">
        <v>0.78612162720581458</v>
      </c>
      <c r="J54" s="16">
        <v>0.78327402230278609</v>
      </c>
      <c r="K54" s="17">
        <v>0.78215779562907961</v>
      </c>
      <c r="L54" s="5"/>
      <c r="M54" s="5"/>
      <c r="N54" s="21">
        <v>0.74711597243084626</v>
      </c>
      <c r="O54" s="22">
        <v>0.74835224480582574</v>
      </c>
      <c r="P54" s="23">
        <v>0.68203707156242477</v>
      </c>
      <c r="Q54" s="5"/>
      <c r="R54" s="5"/>
      <c r="S54" s="27">
        <v>0.80324452139650115</v>
      </c>
      <c r="T54" s="10">
        <v>0.77549422123869616</v>
      </c>
      <c r="U54" s="11">
        <v>0.7918378422836212</v>
      </c>
      <c r="V54" s="5"/>
    </row>
    <row r="55" spans="2:22" x14ac:dyDescent="0.3">
      <c r="B55" s="5"/>
      <c r="C55" s="5"/>
      <c r="D55" s="9">
        <v>0.60958675583178046</v>
      </c>
      <c r="E55" s="10">
        <v>0.68761795211419996</v>
      </c>
      <c r="F55" s="11">
        <v>0.84685923110884753</v>
      </c>
      <c r="G55" s="5"/>
      <c r="H55" s="5"/>
      <c r="I55" s="15">
        <v>0.78796928830762603</v>
      </c>
      <c r="J55" s="16">
        <v>0.77501901573485465</v>
      </c>
      <c r="K55" s="17">
        <v>0.78030160284363004</v>
      </c>
      <c r="L55" s="5"/>
      <c r="M55" s="5"/>
      <c r="N55" s="21">
        <v>0.69589667540629929</v>
      </c>
      <c r="O55" s="22">
        <v>0.69196085019800679</v>
      </c>
      <c r="P55" s="23">
        <v>0.60419726363708515</v>
      </c>
      <c r="Q55" s="5"/>
      <c r="R55" s="5"/>
      <c r="S55" s="27">
        <v>0.69545633116635419</v>
      </c>
      <c r="T55" s="10">
        <v>0.82529556513525248</v>
      </c>
      <c r="U55" s="11">
        <v>0.79194033388670526</v>
      </c>
      <c r="V55" s="5"/>
    </row>
    <row r="56" spans="2:22" x14ac:dyDescent="0.3">
      <c r="B56" s="5"/>
      <c r="C56" s="5"/>
      <c r="D56" s="9">
        <v>0.72221491702449836</v>
      </c>
      <c r="E56" s="10">
        <v>0.76423666470761098</v>
      </c>
      <c r="F56" s="11">
        <v>0.84192356332210838</v>
      </c>
      <c r="G56" s="5"/>
      <c r="H56" s="5"/>
      <c r="I56" s="15">
        <v>0.77713807538855961</v>
      </c>
      <c r="J56" s="16">
        <v>0.78077717381759459</v>
      </c>
      <c r="K56" s="17">
        <v>0.78117119442599847</v>
      </c>
      <c r="L56" s="5"/>
      <c r="M56" s="5"/>
      <c r="N56" s="21">
        <v>0.56034623568902908</v>
      </c>
      <c r="O56" s="22">
        <v>0.79830988946544423</v>
      </c>
      <c r="P56" s="23">
        <v>0.65382517393037731</v>
      </c>
      <c r="Q56" s="5"/>
      <c r="R56" s="5"/>
      <c r="S56" s="27">
        <v>0.79342736312162154</v>
      </c>
      <c r="T56" s="10">
        <v>0.855714950849085</v>
      </c>
      <c r="U56" s="11">
        <v>0.84453051056860862</v>
      </c>
      <c r="V56" s="5"/>
    </row>
    <row r="57" spans="2:22" x14ac:dyDescent="0.3">
      <c r="B57" s="5"/>
      <c r="C57" s="5"/>
      <c r="D57" s="9">
        <v>0.77356204649209759</v>
      </c>
      <c r="E57" s="10">
        <v>0.79993152361925579</v>
      </c>
      <c r="F57" s="11">
        <v>0.84220564434899603</v>
      </c>
      <c r="G57" s="5"/>
      <c r="H57" s="5"/>
      <c r="I57" s="15">
        <v>0.78488919287086645</v>
      </c>
      <c r="J57" s="16">
        <v>0.77291996953147335</v>
      </c>
      <c r="K57" s="17">
        <v>0.7878679200583093</v>
      </c>
      <c r="L57" s="5"/>
      <c r="M57" s="5"/>
      <c r="N57" s="21">
        <v>0.7151094979308803</v>
      </c>
      <c r="O57" s="22">
        <v>0.64552268347245823</v>
      </c>
      <c r="P57" s="23">
        <v>0.86600434065558174</v>
      </c>
      <c r="Q57" s="5"/>
      <c r="R57" s="5"/>
      <c r="S57" s="27">
        <v>0.83073253710202111</v>
      </c>
      <c r="T57" s="10">
        <v>0.79761124024541252</v>
      </c>
      <c r="U57" s="11">
        <v>0.81100576580510531</v>
      </c>
      <c r="V57" s="5"/>
    </row>
    <row r="58" spans="2:22" x14ac:dyDescent="0.3">
      <c r="B58" s="5"/>
      <c r="C58" s="5"/>
      <c r="D58" s="9">
        <v>0.82424832776244505</v>
      </c>
      <c r="E58" s="10">
        <v>0.59036532323249769</v>
      </c>
      <c r="F58" s="11">
        <v>0.56715207154374647</v>
      </c>
      <c r="G58" s="5"/>
      <c r="H58" s="5"/>
      <c r="I58" s="15">
        <v>0.77771338133293244</v>
      </c>
      <c r="J58" s="16">
        <v>0.79100811060041398</v>
      </c>
      <c r="K58" s="17">
        <v>0.78131667800056992</v>
      </c>
      <c r="L58" s="5"/>
      <c r="M58" s="5"/>
      <c r="N58" s="21">
        <v>0.67578703518787586</v>
      </c>
      <c r="O58" s="22">
        <v>0.65105896086093495</v>
      </c>
      <c r="P58" s="23">
        <v>0.86642315927489433</v>
      </c>
      <c r="Q58" s="5"/>
      <c r="R58" s="5"/>
      <c r="S58" s="27">
        <v>0.85247123705503325</v>
      </c>
      <c r="T58" s="10">
        <v>0.85627208655582088</v>
      </c>
      <c r="U58" s="11">
        <v>0.84352502946625996</v>
      </c>
      <c r="V58" s="5"/>
    </row>
    <row r="59" spans="2:22" x14ac:dyDescent="0.3">
      <c r="B59" s="5"/>
      <c r="C59" s="5"/>
      <c r="D59" s="9">
        <v>0.75542956307775688</v>
      </c>
      <c r="E59" s="10">
        <v>0.66162342462680901</v>
      </c>
      <c r="F59" s="11">
        <v>0.51688571777013159</v>
      </c>
      <c r="G59" s="5"/>
      <c r="H59" s="5"/>
      <c r="I59" s="15">
        <v>0.78218958091778523</v>
      </c>
      <c r="J59" s="16">
        <v>0.78249040368894041</v>
      </c>
      <c r="K59" s="17">
        <v>0.79186966183398211</v>
      </c>
      <c r="L59" s="5"/>
      <c r="M59" s="5"/>
      <c r="N59" s="21">
        <v>0.69684911868313648</v>
      </c>
      <c r="O59" s="22">
        <v>0.77759234453905657</v>
      </c>
      <c r="P59" s="23">
        <v>0.6782902818460701</v>
      </c>
      <c r="Q59" s="5"/>
      <c r="R59" s="5"/>
      <c r="S59" s="27">
        <v>0.83867985648475496</v>
      </c>
      <c r="T59" s="10">
        <v>0.88764517315176206</v>
      </c>
      <c r="U59" s="11">
        <v>0.88740119065567158</v>
      </c>
      <c r="V59" s="5"/>
    </row>
    <row r="60" spans="2:22" x14ac:dyDescent="0.3">
      <c r="B60" s="5"/>
      <c r="C60" s="5"/>
      <c r="D60" s="9">
        <v>0.74757680251317749</v>
      </c>
      <c r="E60" s="10">
        <v>0.65677971484611808</v>
      </c>
      <c r="F60" s="11">
        <v>0.7708823967902303</v>
      </c>
      <c r="G60" s="5"/>
      <c r="H60" s="5"/>
      <c r="I60" s="15">
        <v>0.76409275598651538</v>
      </c>
      <c r="J60" s="16">
        <v>0.77671860833453921</v>
      </c>
      <c r="K60" s="17">
        <v>0.78956579481948952</v>
      </c>
      <c r="L60" s="5"/>
      <c r="M60" s="5"/>
      <c r="N60" s="21">
        <v>0.82106098001413896</v>
      </c>
      <c r="O60" s="22">
        <v>0.67942260539383481</v>
      </c>
      <c r="P60" s="23">
        <v>0.71403235286072397</v>
      </c>
      <c r="Q60" s="5"/>
      <c r="R60" s="5"/>
      <c r="S60" s="27">
        <v>0.79417255296859679</v>
      </c>
      <c r="T60" s="10">
        <v>0.83613049255353056</v>
      </c>
      <c r="U60" s="11">
        <v>0.8202165527709907</v>
      </c>
      <c r="V60" s="5"/>
    </row>
    <row r="61" spans="2:22" x14ac:dyDescent="0.3">
      <c r="B61" s="5"/>
      <c r="C61" s="5"/>
      <c r="D61" s="9">
        <v>0.98557865785647414</v>
      </c>
      <c r="E61" s="10">
        <v>0.81156543671923442</v>
      </c>
      <c r="F61" s="11">
        <v>0.72092594214504657</v>
      </c>
      <c r="G61" s="5"/>
      <c r="H61" s="5"/>
      <c r="I61" s="15">
        <v>0.78804646183370242</v>
      </c>
      <c r="J61" s="16">
        <v>0.78081089068944398</v>
      </c>
      <c r="K61" s="17">
        <v>0.77924502746335012</v>
      </c>
      <c r="L61" s="5"/>
      <c r="M61" s="5"/>
      <c r="N61" s="21">
        <v>0.76192889173408795</v>
      </c>
      <c r="O61" s="22">
        <v>0.80323563869810022</v>
      </c>
      <c r="P61" s="23">
        <v>0.78948588677507492</v>
      </c>
      <c r="Q61" s="5"/>
      <c r="R61" s="5"/>
      <c r="S61" s="27">
        <v>0.74047344679801175</v>
      </c>
      <c r="T61" s="10">
        <v>0.7610960387910789</v>
      </c>
      <c r="U61" s="11">
        <v>0.65629574079103281</v>
      </c>
      <c r="V61" s="5"/>
    </row>
    <row r="62" spans="2:22" x14ac:dyDescent="0.3">
      <c r="B62" s="5"/>
      <c r="C62" s="5"/>
      <c r="D62" s="9">
        <v>0.81436491612914874</v>
      </c>
      <c r="E62" s="10">
        <v>0.67419907568154624</v>
      </c>
      <c r="F62" s="11">
        <v>0.6681194844667141</v>
      </c>
      <c r="G62" s="5"/>
      <c r="H62" s="5"/>
      <c r="I62" s="15">
        <v>0.77010612173501591</v>
      </c>
      <c r="J62" s="16">
        <v>0.78835207288839992</v>
      </c>
      <c r="K62" s="17">
        <v>0.78229247217468245</v>
      </c>
      <c r="L62" s="5"/>
      <c r="M62" s="5"/>
      <c r="N62" s="21">
        <v>0.69196818949590311</v>
      </c>
      <c r="O62" s="22">
        <v>0.85778334614550122</v>
      </c>
      <c r="P62" s="23">
        <v>0.59183660870795507</v>
      </c>
      <c r="Q62" s="5"/>
      <c r="R62" s="5"/>
      <c r="S62" s="27">
        <v>0.74594723310741851</v>
      </c>
      <c r="T62" s="10">
        <v>0.78885903535918567</v>
      </c>
      <c r="U62" s="11">
        <v>0.85417626722855788</v>
      </c>
      <c r="V62" s="5"/>
    </row>
    <row r="63" spans="2:22" x14ac:dyDescent="0.3">
      <c r="B63" s="5"/>
      <c r="C63" s="5"/>
      <c r="D63" s="9">
        <v>0.72276776462777836</v>
      </c>
      <c r="E63" s="10">
        <v>0.6228400939386689</v>
      </c>
      <c r="F63" s="11">
        <v>0.67631912635122848</v>
      </c>
      <c r="G63" s="5"/>
      <c r="H63" s="5"/>
      <c r="I63" s="15">
        <v>0.77834243881515119</v>
      </c>
      <c r="J63" s="16">
        <v>0.7790678188021144</v>
      </c>
      <c r="K63" s="17">
        <v>0.7850233705875076</v>
      </c>
      <c r="L63" s="5"/>
      <c r="M63" s="5"/>
      <c r="N63" s="21">
        <v>0.73895690826409854</v>
      </c>
      <c r="O63" s="22">
        <v>0.749214987165021</v>
      </c>
      <c r="P63" s="23">
        <v>0.95596816041712551</v>
      </c>
      <c r="Q63" s="5"/>
      <c r="R63" s="5"/>
      <c r="S63" s="27">
        <v>0.7828762780320383</v>
      </c>
      <c r="T63" s="10">
        <v>0.70150963031338265</v>
      </c>
      <c r="U63" s="11">
        <v>0.7718781712846885</v>
      </c>
      <c r="V63" s="5"/>
    </row>
    <row r="64" spans="2:22" x14ac:dyDescent="0.3">
      <c r="B64" s="5"/>
      <c r="C64" s="5"/>
      <c r="D64" s="9">
        <v>0.53346374636582927</v>
      </c>
      <c r="E64" s="10">
        <v>0.6976583248277286</v>
      </c>
      <c r="F64" s="11">
        <v>0.70576985384686741</v>
      </c>
      <c r="G64" s="5"/>
      <c r="H64" s="5"/>
      <c r="I64" s="15">
        <v>0.79461843802903476</v>
      </c>
      <c r="J64" s="16">
        <v>0.77997509883356797</v>
      </c>
      <c r="K64" s="17">
        <v>0.77827248018401807</v>
      </c>
      <c r="L64" s="5"/>
      <c r="M64" s="5"/>
      <c r="N64" s="21">
        <v>0.67472746054361121</v>
      </c>
      <c r="O64" s="22">
        <v>0.677493977540508</v>
      </c>
      <c r="P64" s="23">
        <v>0.69092780675665055</v>
      </c>
      <c r="Q64" s="5"/>
      <c r="R64" s="5"/>
      <c r="S64" s="27">
        <v>0.86159267859920485</v>
      </c>
      <c r="T64" s="10">
        <v>0.75056288709175756</v>
      </c>
      <c r="U64" s="11">
        <v>0.75652867898604281</v>
      </c>
      <c r="V64" s="5"/>
    </row>
    <row r="65" spans="2:22" x14ac:dyDescent="0.3">
      <c r="B65" s="5"/>
      <c r="C65" s="5"/>
      <c r="D65" s="9">
        <v>0.71083329145523055</v>
      </c>
      <c r="E65" s="10">
        <v>0.65629313534662137</v>
      </c>
      <c r="F65" s="11">
        <v>0.81766694219594571</v>
      </c>
      <c r="G65" s="5"/>
      <c r="H65" s="5"/>
      <c r="I65" s="15">
        <v>0.78434650996748223</v>
      </c>
      <c r="J65" s="16">
        <v>0.78710318076096797</v>
      </c>
      <c r="K65" s="17">
        <v>0.77929539890802679</v>
      </c>
      <c r="L65" s="5"/>
      <c r="M65" s="5"/>
      <c r="N65" s="21">
        <v>0.76302484208272203</v>
      </c>
      <c r="O65" s="22">
        <v>0.87034887042033915</v>
      </c>
      <c r="P65" s="23">
        <v>0.75102559194614782</v>
      </c>
      <c r="Q65" s="5"/>
      <c r="R65" s="5"/>
      <c r="S65" s="27">
        <v>0.84753951423038598</v>
      </c>
      <c r="T65" s="10">
        <v>0.80762596575580148</v>
      </c>
      <c r="U65" s="11">
        <v>0.80977072077464018</v>
      </c>
      <c r="V65" s="5"/>
    </row>
    <row r="66" spans="2:22" x14ac:dyDescent="0.3">
      <c r="B66" s="5"/>
      <c r="C66" s="5"/>
      <c r="D66" s="9">
        <v>0.79379765315189221</v>
      </c>
      <c r="E66" s="10">
        <v>0.62435455490465031</v>
      </c>
      <c r="F66" s="11">
        <v>0.97012023726919283</v>
      </c>
      <c r="G66" s="5"/>
      <c r="H66" s="5"/>
      <c r="I66" s="15">
        <v>0.78225921340614823</v>
      </c>
      <c r="J66" s="16">
        <v>0.77792801793341237</v>
      </c>
      <c r="K66" s="17">
        <v>0.77928248931527921</v>
      </c>
      <c r="L66" s="5"/>
      <c r="M66" s="5"/>
      <c r="N66" s="21">
        <v>0.61293722524221328</v>
      </c>
      <c r="O66" s="22">
        <v>0.72175433615430917</v>
      </c>
      <c r="P66" s="23">
        <v>0.63929953842839315</v>
      </c>
      <c r="Q66" s="5"/>
      <c r="R66" s="5"/>
      <c r="S66" s="27">
        <v>0.95172596022970524</v>
      </c>
      <c r="T66" s="10">
        <v>0.80810603959962246</v>
      </c>
      <c r="U66" s="11">
        <v>0.88970313699516634</v>
      </c>
      <c r="V66" s="5"/>
    </row>
    <row r="67" spans="2:22" x14ac:dyDescent="0.3">
      <c r="B67" s="5"/>
      <c r="C67" s="5"/>
      <c r="D67" s="9">
        <v>0.95321160372552471</v>
      </c>
      <c r="E67" s="10">
        <v>0.68777893816062419</v>
      </c>
      <c r="F67" s="11">
        <v>0.60647275303582004</v>
      </c>
      <c r="G67" s="5"/>
      <c r="H67" s="5"/>
      <c r="I67" s="15">
        <v>0.78030082051099248</v>
      </c>
      <c r="J67" s="16">
        <v>0.78174228871002416</v>
      </c>
      <c r="K67" s="17">
        <v>0.79033296100990769</v>
      </c>
      <c r="L67" s="5"/>
      <c r="M67" s="5"/>
      <c r="N67" s="21">
        <v>0.65651070748200802</v>
      </c>
      <c r="O67" s="22">
        <v>0.72204837087070917</v>
      </c>
      <c r="P67" s="23">
        <v>0.91288144926661974</v>
      </c>
      <c r="Q67" s="5"/>
      <c r="R67" s="5"/>
      <c r="S67" s="27">
        <v>0.7371873175600836</v>
      </c>
      <c r="T67" s="10">
        <v>0.78029256868816421</v>
      </c>
      <c r="U67" s="11">
        <v>0.80077707098138629</v>
      </c>
      <c r="V67" s="5"/>
    </row>
    <row r="68" spans="2:22" x14ac:dyDescent="0.3">
      <c r="B68" s="5"/>
      <c r="C68" s="5"/>
      <c r="D68" s="9">
        <v>0.80481159751070841</v>
      </c>
      <c r="E68" s="10">
        <v>0.69284098403380545</v>
      </c>
      <c r="F68" s="11">
        <v>0.56126998863930455</v>
      </c>
      <c r="G68" s="5"/>
      <c r="H68" s="5"/>
      <c r="I68" s="15">
        <v>0.78792024353393131</v>
      </c>
      <c r="J68" s="16">
        <v>0.78673646343472448</v>
      </c>
      <c r="K68" s="17">
        <v>0.77991712979205174</v>
      </c>
      <c r="L68" s="5"/>
      <c r="M68" s="5"/>
      <c r="N68" s="21">
        <v>0.74450847486798721</v>
      </c>
      <c r="O68" s="22">
        <v>0.65462662511774272</v>
      </c>
      <c r="P68" s="23">
        <v>0.6861883572587405</v>
      </c>
      <c r="Q68" s="5"/>
      <c r="R68" s="5"/>
      <c r="S68" s="27">
        <v>0.7943043171007298</v>
      </c>
      <c r="T68" s="10">
        <v>0.80683400688924589</v>
      </c>
      <c r="U68" s="11">
        <v>0.85526146844816975</v>
      </c>
      <c r="V68" s="5"/>
    </row>
    <row r="69" spans="2:22" x14ac:dyDescent="0.3">
      <c r="B69" s="5"/>
      <c r="C69" s="5"/>
      <c r="D69" s="9">
        <v>0.76914203279718718</v>
      </c>
      <c r="E69" s="10">
        <v>0.75847938120647151</v>
      </c>
      <c r="F69" s="11">
        <v>0.5277867165795852</v>
      </c>
      <c r="G69" s="5"/>
      <c r="H69" s="5"/>
      <c r="I69" s="15">
        <v>0.78163650606126878</v>
      </c>
      <c r="J69" s="16">
        <v>0.78061181570443139</v>
      </c>
      <c r="K69" s="17">
        <v>0.78435296410205702</v>
      </c>
      <c r="L69" s="5"/>
      <c r="M69" s="5"/>
      <c r="N69" s="21">
        <v>0.60159618301170392</v>
      </c>
      <c r="O69" s="22">
        <v>0.57860743706924223</v>
      </c>
      <c r="P69" s="23">
        <v>0.64592629233749488</v>
      </c>
      <c r="Q69" s="5"/>
      <c r="R69" s="5"/>
      <c r="S69" s="27">
        <v>0.7208175786062726</v>
      </c>
      <c r="T69" s="10">
        <v>0.80757594037512859</v>
      </c>
      <c r="U69" s="11">
        <v>0.79954973573749766</v>
      </c>
      <c r="V69" s="5"/>
    </row>
    <row r="70" spans="2:22" x14ac:dyDescent="0.3">
      <c r="B70" s="5"/>
      <c r="C70" s="5"/>
      <c r="D70" s="9">
        <v>1.0548366136091489</v>
      </c>
      <c r="E70" s="10">
        <v>0.55651366292541571</v>
      </c>
      <c r="F70" s="11">
        <v>0.84531492339758885</v>
      </c>
      <c r="G70" s="5"/>
      <c r="H70" s="5"/>
      <c r="I70" s="15">
        <v>0.77506999240921348</v>
      </c>
      <c r="J70" s="16">
        <v>0.7758236509726838</v>
      </c>
      <c r="K70" s="17">
        <v>0.78915139969867454</v>
      </c>
      <c r="L70" s="5"/>
      <c r="M70" s="5"/>
      <c r="N70" s="21">
        <v>0.52739243718394213</v>
      </c>
      <c r="O70" s="22">
        <v>0.75439805340842314</v>
      </c>
      <c r="P70" s="23">
        <v>0.77579053278804699</v>
      </c>
      <c r="Q70" s="5"/>
      <c r="R70" s="5"/>
      <c r="S70" s="27">
        <v>0.86410772161401761</v>
      </c>
      <c r="T70" s="10">
        <v>0.75601513786487684</v>
      </c>
      <c r="U70" s="11">
        <v>0.84176534444615825</v>
      </c>
      <c r="V70" s="5"/>
    </row>
    <row r="71" spans="2:22" x14ac:dyDescent="0.3">
      <c r="B71" s="5"/>
      <c r="C71" s="5"/>
      <c r="D71" s="9">
        <v>0.90617564913866777</v>
      </c>
      <c r="E71" s="10">
        <v>0.97024517596323601</v>
      </c>
      <c r="F71" s="11">
        <v>0.77173931145178321</v>
      </c>
      <c r="G71" s="5"/>
      <c r="H71" s="5"/>
      <c r="I71" s="15">
        <v>0.78304607640783819</v>
      </c>
      <c r="J71" s="16">
        <v>0.79144064980966766</v>
      </c>
      <c r="K71" s="17">
        <v>0.77370700356332411</v>
      </c>
      <c r="L71" s="5"/>
      <c r="M71" s="5"/>
      <c r="N71" s="21">
        <v>0.64831183494897349</v>
      </c>
      <c r="O71" s="22">
        <v>0.67344264595598324</v>
      </c>
      <c r="P71" s="23">
        <v>0.66601088788650276</v>
      </c>
      <c r="Q71" s="5"/>
      <c r="R71" s="5"/>
      <c r="S71" s="27">
        <v>0.66088395238436481</v>
      </c>
      <c r="T71" s="10">
        <v>0.72820178365871124</v>
      </c>
      <c r="U71" s="11">
        <v>0.84709070020434918</v>
      </c>
      <c r="V71" s="5"/>
    </row>
    <row r="72" spans="2:22" x14ac:dyDescent="0.3">
      <c r="B72" s="5"/>
      <c r="C72" s="5"/>
      <c r="D72" s="9">
        <v>0.75788292776865218</v>
      </c>
      <c r="E72" s="10">
        <v>0.85357134686783087</v>
      </c>
      <c r="F72" s="11">
        <v>0.64573228009487016</v>
      </c>
      <c r="G72" s="5"/>
      <c r="H72" s="5"/>
      <c r="I72" s="15">
        <v>0.78451936214909834</v>
      </c>
      <c r="J72" s="16">
        <v>0.78541616849544271</v>
      </c>
      <c r="K72" s="17">
        <v>0.78546276001886717</v>
      </c>
      <c r="L72" s="5"/>
      <c r="M72" s="5"/>
      <c r="N72" s="21">
        <v>0.70875145763233427</v>
      </c>
      <c r="O72" s="22">
        <v>0.84717043022056704</v>
      </c>
      <c r="P72" s="23">
        <v>0.72024826083623106</v>
      </c>
      <c r="Q72" s="5"/>
      <c r="R72" s="5"/>
      <c r="S72" s="27">
        <v>0.71480762010176135</v>
      </c>
      <c r="T72" s="10">
        <v>0.85382635502729287</v>
      </c>
      <c r="U72" s="11">
        <v>0.85223046856045781</v>
      </c>
      <c r="V72" s="5"/>
    </row>
    <row r="73" spans="2:22" x14ac:dyDescent="0.3">
      <c r="B73" s="5"/>
      <c r="C73" s="5"/>
      <c r="D73" s="9">
        <v>0.69930816491005454</v>
      </c>
      <c r="E73" s="10">
        <v>0.71158462431483149</v>
      </c>
      <c r="F73" s="11">
        <v>0.69301936512125806</v>
      </c>
      <c r="G73" s="5"/>
      <c r="H73" s="5"/>
      <c r="I73" s="15">
        <v>0.7813740568650791</v>
      </c>
      <c r="J73" s="16">
        <v>0.78080553279284448</v>
      </c>
      <c r="K73" s="17">
        <v>0.7874521443854744</v>
      </c>
      <c r="L73" s="5"/>
      <c r="M73" s="5"/>
      <c r="N73" s="21">
        <v>0.67393453154672334</v>
      </c>
      <c r="O73" s="22">
        <v>0.80867288972285578</v>
      </c>
      <c r="P73" s="23">
        <v>0.55853774111139176</v>
      </c>
      <c r="Q73" s="5"/>
      <c r="R73" s="5"/>
      <c r="S73" s="27">
        <v>0.74054207163176677</v>
      </c>
      <c r="T73" s="10">
        <v>0.80862047514239843</v>
      </c>
      <c r="U73" s="11">
        <v>0.69260032374379377</v>
      </c>
      <c r="V73" s="5"/>
    </row>
    <row r="74" spans="2:22" x14ac:dyDescent="0.3">
      <c r="B74" s="5"/>
      <c r="C74" s="5"/>
      <c r="D74" s="9">
        <v>0.865018057018898</v>
      </c>
      <c r="E74" s="10">
        <v>0.75704445052660108</v>
      </c>
      <c r="F74" s="11">
        <v>0.72435249900918142</v>
      </c>
      <c r="G74" s="5"/>
      <c r="H74" s="5"/>
      <c r="I74" s="15">
        <v>0.79141226866248082</v>
      </c>
      <c r="J74" s="16">
        <v>0.78450924790239773</v>
      </c>
      <c r="K74" s="17">
        <v>0.78620212873960837</v>
      </c>
      <c r="L74" s="5"/>
      <c r="M74" s="5"/>
      <c r="N74" s="21">
        <v>0.58978112693798923</v>
      </c>
      <c r="O74" s="22">
        <v>0.57738175772361944</v>
      </c>
      <c r="P74" s="23">
        <v>0.69504455196312276</v>
      </c>
      <c r="Q74" s="5"/>
      <c r="R74" s="5"/>
      <c r="S74" s="27">
        <v>0.76240026398637717</v>
      </c>
      <c r="T74" s="10">
        <v>0.82635711597678074</v>
      </c>
      <c r="U74" s="11">
        <v>0.83689642232813533</v>
      </c>
      <c r="V74" s="5"/>
    </row>
    <row r="75" spans="2:22" x14ac:dyDescent="0.3">
      <c r="B75" s="5"/>
      <c r="C75" s="5"/>
      <c r="D75" s="9">
        <v>0.73163738849013926</v>
      </c>
      <c r="E75" s="10">
        <v>0.8087686392056852</v>
      </c>
      <c r="F75" s="11">
        <v>0.76825068577568945</v>
      </c>
      <c r="G75" s="5"/>
      <c r="H75" s="5"/>
      <c r="I75" s="15">
        <v>0.78712983577680629</v>
      </c>
      <c r="J75" s="16">
        <v>0.77531826245551094</v>
      </c>
      <c r="K75" s="17">
        <v>0.78589732036630411</v>
      </c>
      <c r="L75" s="5"/>
      <c r="M75" s="5"/>
      <c r="N75" s="21">
        <v>0.78708206378340506</v>
      </c>
      <c r="O75" s="22">
        <v>0.65820463149773434</v>
      </c>
      <c r="P75" s="23">
        <v>0.75019922789094839</v>
      </c>
      <c r="Q75" s="5"/>
      <c r="R75" s="5"/>
      <c r="S75" s="27">
        <v>0.77343485845915905</v>
      </c>
      <c r="T75" s="10">
        <v>0.75170429942974959</v>
      </c>
      <c r="U75" s="11">
        <v>0.78180205140880898</v>
      </c>
      <c r="V75" s="5"/>
    </row>
    <row r="76" spans="2:22" x14ac:dyDescent="0.3">
      <c r="B76" s="5"/>
      <c r="C76" s="5"/>
      <c r="D76" s="9">
        <v>0.86316832744888072</v>
      </c>
      <c r="E76" s="10">
        <v>0.75846888115565514</v>
      </c>
      <c r="F76" s="11">
        <v>0.82926460913764943</v>
      </c>
      <c r="G76" s="5"/>
      <c r="H76" s="5"/>
      <c r="I76" s="15">
        <v>0.78810878883937308</v>
      </c>
      <c r="J76" s="16">
        <v>0.78806877165105094</v>
      </c>
      <c r="K76" s="17">
        <v>0.7811171472613313</v>
      </c>
      <c r="L76" s="5"/>
      <c r="M76" s="5"/>
      <c r="N76" s="21">
        <v>0.78814246841983526</v>
      </c>
      <c r="O76" s="22">
        <v>0.77495523067855221</v>
      </c>
      <c r="P76" s="23">
        <v>0.72466889172321591</v>
      </c>
      <c r="Q76" s="5"/>
      <c r="R76" s="5"/>
      <c r="S76" s="27">
        <v>0.85585014091101475</v>
      </c>
      <c r="T76" s="10">
        <v>0.73851696656874388</v>
      </c>
      <c r="U76" s="11">
        <v>0.65209663303182286</v>
      </c>
      <c r="V76" s="5"/>
    </row>
    <row r="77" spans="2:22" x14ac:dyDescent="0.3">
      <c r="B77" s="5"/>
      <c r="C77" s="5"/>
      <c r="D77" s="9">
        <v>0.75019940965639487</v>
      </c>
      <c r="E77" s="10">
        <v>0.77194461109897172</v>
      </c>
      <c r="F77" s="11">
        <v>0.6663922753932856</v>
      </c>
      <c r="G77" s="5"/>
      <c r="H77" s="5"/>
      <c r="I77" s="15">
        <v>0.79234561135190473</v>
      </c>
      <c r="J77" s="16">
        <v>0.78187117684583496</v>
      </c>
      <c r="K77" s="17">
        <v>0.77713494331040123</v>
      </c>
      <c r="L77" s="5"/>
      <c r="M77" s="5"/>
      <c r="N77" s="21">
        <v>0.67750019278368778</v>
      </c>
      <c r="O77" s="22">
        <v>0.71687590409502056</v>
      </c>
      <c r="P77" s="23">
        <v>0.73038691172566361</v>
      </c>
      <c r="Q77" s="5"/>
      <c r="R77" s="5"/>
      <c r="S77" s="27">
        <v>0.83763216213431668</v>
      </c>
      <c r="T77" s="10">
        <v>0.75927574908705286</v>
      </c>
      <c r="U77" s="11">
        <v>0.84399973439617415</v>
      </c>
      <c r="V77" s="5"/>
    </row>
    <row r="78" spans="2:22" x14ac:dyDescent="0.3">
      <c r="B78" s="5"/>
      <c r="C78" s="5"/>
      <c r="D78" s="9">
        <v>0.88276398221963193</v>
      </c>
      <c r="E78" s="10">
        <v>0.68535574495594176</v>
      </c>
      <c r="F78" s="11">
        <v>0.56672958118411532</v>
      </c>
      <c r="G78" s="5"/>
      <c r="H78" s="5"/>
      <c r="I78" s="15">
        <v>0.77709471049718093</v>
      </c>
      <c r="J78" s="16">
        <v>0.78297037625876253</v>
      </c>
      <c r="K78" s="17">
        <v>0.79594444755944338</v>
      </c>
      <c r="L78" s="5"/>
      <c r="M78" s="5"/>
      <c r="N78" s="21">
        <v>0.71535135009239004</v>
      </c>
      <c r="O78" s="22">
        <v>0.76384937937890474</v>
      </c>
      <c r="P78" s="23">
        <v>0.75543059627859011</v>
      </c>
      <c r="Q78" s="5"/>
      <c r="R78" s="5"/>
      <c r="S78" s="27">
        <v>0.89407795181325822</v>
      </c>
      <c r="T78" s="10">
        <v>0.74239979689294289</v>
      </c>
      <c r="U78" s="11">
        <v>0.84910816885742812</v>
      </c>
      <c r="V78" s="5"/>
    </row>
    <row r="79" spans="2:22" x14ac:dyDescent="0.3">
      <c r="B79" s="5"/>
      <c r="C79" s="5"/>
      <c r="D79" s="9">
        <v>0.79560886188271251</v>
      </c>
      <c r="E79" s="10">
        <v>0.72795538329220333</v>
      </c>
      <c r="F79" s="11">
        <v>0.69524142985492887</v>
      </c>
      <c r="G79" s="5"/>
      <c r="H79" s="5"/>
      <c r="I79" s="15">
        <v>0.78840397804752937</v>
      </c>
      <c r="J79" s="16">
        <v>0.79010114144911703</v>
      </c>
      <c r="K79" s="17">
        <v>0.78253951317052461</v>
      </c>
      <c r="L79" s="5"/>
      <c r="M79" s="5"/>
      <c r="N79" s="21">
        <v>0.77869685214105278</v>
      </c>
      <c r="O79" s="22">
        <v>0.74932319594893892</v>
      </c>
      <c r="P79" s="23">
        <v>0.55932458404973584</v>
      </c>
      <c r="Q79" s="5"/>
      <c r="R79" s="5"/>
      <c r="S79" s="27">
        <v>0.80161303084086621</v>
      </c>
      <c r="T79" s="10">
        <v>0.79451417928703427</v>
      </c>
      <c r="U79" s="11">
        <v>0.73746663845374738</v>
      </c>
      <c r="V79" s="5"/>
    </row>
    <row r="80" spans="2:22" x14ac:dyDescent="0.3">
      <c r="B80" s="5"/>
      <c r="C80" s="5"/>
      <c r="D80" s="9">
        <v>0.82822616192335319</v>
      </c>
      <c r="E80" s="10">
        <v>0.76681327040640668</v>
      </c>
      <c r="F80" s="11">
        <v>0.828142702398728</v>
      </c>
      <c r="G80" s="5"/>
      <c r="H80" s="5"/>
      <c r="I80" s="15">
        <v>0.7838761285654805</v>
      </c>
      <c r="J80" s="16">
        <v>0.77922896403261765</v>
      </c>
      <c r="K80" s="17">
        <v>0.78062047988999395</v>
      </c>
      <c r="L80" s="5"/>
      <c r="M80" s="5"/>
      <c r="N80" s="21">
        <v>0.66836906659761486</v>
      </c>
      <c r="O80" s="22">
        <v>0.72569587415491765</v>
      </c>
      <c r="P80" s="23">
        <v>0.7331212709340228</v>
      </c>
      <c r="Q80" s="5"/>
      <c r="R80" s="5"/>
      <c r="S80" s="27">
        <v>0.73283318907486505</v>
      </c>
      <c r="T80" s="10">
        <v>0.79388695154693834</v>
      </c>
      <c r="U80" s="11">
        <v>0.9087722919769744</v>
      </c>
      <c r="V80" s="5"/>
    </row>
    <row r="81" spans="2:22" x14ac:dyDescent="0.3">
      <c r="B81" s="5"/>
      <c r="C81" s="5"/>
      <c r="D81" s="9">
        <v>0.85330768279222469</v>
      </c>
      <c r="E81" s="10">
        <v>0.7489450733080476</v>
      </c>
      <c r="F81" s="11">
        <v>1.1339901208050325</v>
      </c>
      <c r="G81" s="5"/>
      <c r="H81" s="5"/>
      <c r="I81" s="15">
        <v>0.7890473892203258</v>
      </c>
      <c r="J81" s="16">
        <v>0.78166863794839925</v>
      </c>
      <c r="K81" s="17">
        <v>0.79964490791025311</v>
      </c>
      <c r="L81" s="5"/>
      <c r="M81" s="5"/>
      <c r="N81" s="21">
        <v>0.74775056526961936</v>
      </c>
      <c r="O81" s="22">
        <v>0.67546119729917742</v>
      </c>
      <c r="P81" s="23">
        <v>0.67812387877170388</v>
      </c>
      <c r="Q81" s="5"/>
      <c r="R81" s="5"/>
      <c r="S81" s="27">
        <v>0.82875930671769815</v>
      </c>
      <c r="T81" s="10">
        <v>0.72099061242791895</v>
      </c>
      <c r="U81" s="11">
        <v>0.85410229728487619</v>
      </c>
      <c r="V81" s="5"/>
    </row>
    <row r="82" spans="2:22" x14ac:dyDescent="0.3">
      <c r="B82" s="5"/>
      <c r="C82" s="5"/>
      <c r="D82" s="9">
        <v>0.69750453767544118</v>
      </c>
      <c r="E82" s="10">
        <v>0.91497186719321788</v>
      </c>
      <c r="F82" s="11">
        <v>0.69987286809191052</v>
      </c>
      <c r="G82" s="5"/>
      <c r="H82" s="5"/>
      <c r="I82" s="15">
        <v>0.78926481859862652</v>
      </c>
      <c r="J82" s="16">
        <v>0.7913570362879816</v>
      </c>
      <c r="K82" s="17">
        <v>0.79445577652514521</v>
      </c>
      <c r="L82" s="5"/>
      <c r="M82" s="5"/>
      <c r="N82" s="21">
        <v>0.65419043430371537</v>
      </c>
      <c r="O82" s="22">
        <v>0.78503014785185876</v>
      </c>
      <c r="P82" s="23">
        <v>0.89806381431444204</v>
      </c>
      <c r="Q82" s="5"/>
      <c r="R82" s="5"/>
      <c r="S82" s="27">
        <v>0.79494533057833927</v>
      </c>
      <c r="T82" s="10">
        <v>0.84890393650945117</v>
      </c>
      <c r="U82" s="11">
        <v>0.73711851551688068</v>
      </c>
      <c r="V82" s="5"/>
    </row>
    <row r="83" spans="2:22" x14ac:dyDescent="0.3">
      <c r="B83" s="5"/>
      <c r="C83" s="5"/>
      <c r="D83" s="9">
        <v>0.84196298023344485</v>
      </c>
      <c r="E83" s="10">
        <v>0.72539697424742589</v>
      </c>
      <c r="F83" s="11">
        <v>0.82792963845377199</v>
      </c>
      <c r="G83" s="5"/>
      <c r="H83" s="5"/>
      <c r="I83" s="15">
        <v>0.78958247001147075</v>
      </c>
      <c r="J83" s="16">
        <v>0.77624858059804736</v>
      </c>
      <c r="K83" s="17">
        <v>0.79752247301363643</v>
      </c>
      <c r="L83" s="5"/>
      <c r="M83" s="5"/>
      <c r="N83" s="21">
        <v>0.7204098469763629</v>
      </c>
      <c r="O83" s="22">
        <v>0.68296276733276251</v>
      </c>
      <c r="P83" s="23">
        <v>0.74510812588934938</v>
      </c>
      <c r="Q83" s="5"/>
      <c r="R83" s="5"/>
      <c r="S83" s="27">
        <v>0.74349243055821579</v>
      </c>
      <c r="T83" s="10">
        <v>0.77179492492865265</v>
      </c>
      <c r="U83" s="11">
        <v>0.74204674002895266</v>
      </c>
      <c r="V83" s="5"/>
    </row>
    <row r="84" spans="2:22" x14ac:dyDescent="0.3">
      <c r="B84" s="5"/>
      <c r="C84" s="5"/>
      <c r="D84" s="9">
        <v>0.78460880731210569</v>
      </c>
      <c r="E84" s="10">
        <v>0.46878109658749539</v>
      </c>
      <c r="F84" s="11">
        <v>0.92443322669187877</v>
      </c>
      <c r="G84" s="5"/>
      <c r="H84" s="5"/>
      <c r="I84" s="15">
        <v>0.77785471313673238</v>
      </c>
      <c r="J84" s="16">
        <v>0.77898301854680529</v>
      </c>
      <c r="K84" s="17">
        <v>0.76640822766074934</v>
      </c>
      <c r="L84" s="5"/>
      <c r="M84" s="5"/>
      <c r="N84" s="21">
        <v>0.68339819347053443</v>
      </c>
      <c r="O84" s="22">
        <v>0.6360408426552383</v>
      </c>
      <c r="P84" s="23">
        <v>0.63263202331973933</v>
      </c>
      <c r="Q84" s="5"/>
      <c r="R84" s="5"/>
      <c r="S84" s="27">
        <v>0.86536434489154823</v>
      </c>
      <c r="T84" s="10">
        <v>0.90330874085666668</v>
      </c>
      <c r="U84" s="11">
        <v>0.77709949832189895</v>
      </c>
      <c r="V84" s="5"/>
    </row>
    <row r="85" spans="2:22" x14ac:dyDescent="0.3">
      <c r="B85" s="5"/>
      <c r="C85" s="5"/>
      <c r="D85" s="9">
        <v>0.80215840251452719</v>
      </c>
      <c r="E85" s="10">
        <v>0.7418120598605874</v>
      </c>
      <c r="F85" s="11">
        <v>0.58016367433877447</v>
      </c>
      <c r="G85" s="5"/>
      <c r="H85" s="5"/>
      <c r="I85" s="15">
        <v>0.78515616972093616</v>
      </c>
      <c r="J85" s="16">
        <v>0.78448351262855609</v>
      </c>
      <c r="K85" s="17">
        <v>0.78380612342104816</v>
      </c>
      <c r="L85" s="5"/>
      <c r="M85" s="5"/>
      <c r="N85" s="21">
        <v>0.78463521662044056</v>
      </c>
      <c r="O85" s="22">
        <v>0.73779837083735322</v>
      </c>
      <c r="P85" s="23">
        <v>0.56801239042737728</v>
      </c>
      <c r="Q85" s="5"/>
      <c r="R85" s="5"/>
      <c r="S85" s="27">
        <v>0.80019857860969723</v>
      </c>
      <c r="T85" s="10">
        <v>0.87449940270021342</v>
      </c>
      <c r="U85" s="11">
        <v>0.8670638212175179</v>
      </c>
      <c r="V85" s="5"/>
    </row>
    <row r="86" spans="2:22" x14ac:dyDescent="0.3">
      <c r="B86" s="5"/>
      <c r="C86" s="5"/>
      <c r="D86" s="9">
        <v>0.90183526683085147</v>
      </c>
      <c r="E86" s="10">
        <v>0.68806398825609727</v>
      </c>
      <c r="F86" s="11">
        <v>0.71781937495672565</v>
      </c>
      <c r="G86" s="5"/>
      <c r="H86" s="5"/>
      <c r="I86" s="15">
        <v>0.78579032363860035</v>
      </c>
      <c r="J86" s="16">
        <v>0.77082683491313275</v>
      </c>
      <c r="K86" s="17">
        <v>0.77847108484947369</v>
      </c>
      <c r="L86" s="5"/>
      <c r="M86" s="5"/>
      <c r="N86" s="21">
        <v>0.70176428260174173</v>
      </c>
      <c r="O86" s="22">
        <v>0.66215510894263518</v>
      </c>
      <c r="P86" s="23">
        <v>0.74909686513940055</v>
      </c>
      <c r="Q86" s="5"/>
      <c r="R86" s="5"/>
      <c r="S86" s="27">
        <v>0.69076078967426136</v>
      </c>
      <c r="T86" s="10">
        <v>0.89077701594415148</v>
      </c>
      <c r="U86" s="11">
        <v>0.78918596808983321</v>
      </c>
      <c r="V86" s="5"/>
    </row>
    <row r="87" spans="2:22" x14ac:dyDescent="0.3">
      <c r="B87" s="5"/>
      <c r="C87" s="5"/>
      <c r="D87" s="9">
        <v>0.97509419258640617</v>
      </c>
      <c r="E87" s="10">
        <v>0.79643935547848665</v>
      </c>
      <c r="F87" s="11">
        <v>0.72341007842330129</v>
      </c>
      <c r="G87" s="5"/>
      <c r="H87" s="5"/>
      <c r="I87" s="15">
        <v>0.78791326986483756</v>
      </c>
      <c r="J87" s="16">
        <v>0.77340415268356644</v>
      </c>
      <c r="K87" s="17">
        <v>0.7813298729020991</v>
      </c>
      <c r="L87" s="5"/>
      <c r="M87" s="5"/>
      <c r="N87" s="21">
        <v>0.89048419741928031</v>
      </c>
      <c r="O87" s="22">
        <v>0.76267665281741148</v>
      </c>
      <c r="P87" s="23">
        <v>0.5789490740374883</v>
      </c>
      <c r="Q87" s="5"/>
      <c r="R87" s="5"/>
      <c r="S87" s="27">
        <v>0.85513635865239057</v>
      </c>
      <c r="T87" s="10">
        <v>0.72402345100027166</v>
      </c>
      <c r="U87" s="11">
        <v>0.79440592664345899</v>
      </c>
      <c r="V87" s="5"/>
    </row>
    <row r="88" spans="2:22" x14ac:dyDescent="0.3">
      <c r="B88" s="5"/>
      <c r="C88" s="5"/>
      <c r="D88" s="9">
        <v>0.73629107479439904</v>
      </c>
      <c r="E88" s="10">
        <v>0.70601002351673503</v>
      </c>
      <c r="F88" s="11">
        <v>0.81582047389763623</v>
      </c>
      <c r="G88" s="5"/>
      <c r="H88" s="5"/>
      <c r="I88" s="15">
        <v>0.76770446896789402</v>
      </c>
      <c r="J88" s="16">
        <v>0.79219653453921046</v>
      </c>
      <c r="K88" s="17">
        <v>0.78587719182678206</v>
      </c>
      <c r="L88" s="5"/>
      <c r="M88" s="5"/>
      <c r="N88" s="21">
        <v>0.66802256221700906</v>
      </c>
      <c r="O88" s="22">
        <v>0.67262576565107468</v>
      </c>
      <c r="P88" s="23">
        <v>0.68780639746520567</v>
      </c>
      <c r="Q88" s="5"/>
      <c r="R88" s="5"/>
      <c r="S88" s="27">
        <v>0.79564413870350958</v>
      </c>
      <c r="T88" s="10">
        <v>0.80439754282091802</v>
      </c>
      <c r="U88" s="11">
        <v>0.76530695510813807</v>
      </c>
      <c r="V88" s="5"/>
    </row>
    <row r="89" spans="2:22" x14ac:dyDescent="0.3">
      <c r="B89" s="5"/>
      <c r="C89" s="5"/>
      <c r="D89" s="9">
        <v>0.97138672692475558</v>
      </c>
      <c r="E89" s="10">
        <v>0.66077493385058139</v>
      </c>
      <c r="F89" s="11">
        <v>0.88416653663193367</v>
      </c>
      <c r="G89" s="5"/>
      <c r="H89" s="5"/>
      <c r="I89" s="15">
        <v>0.7852226740976731</v>
      </c>
      <c r="J89" s="16">
        <v>0.78818742364656458</v>
      </c>
      <c r="K89" s="17">
        <v>0.78084064299871259</v>
      </c>
      <c r="L89" s="5"/>
      <c r="M89" s="5"/>
      <c r="N89" s="21">
        <v>0.77310920147180384</v>
      </c>
      <c r="O89" s="22">
        <v>0.67037791811264025</v>
      </c>
      <c r="P89" s="23">
        <v>0.8780101847465398</v>
      </c>
      <c r="Q89" s="5"/>
      <c r="R89" s="5"/>
      <c r="S89" s="27">
        <v>0.89582299791214726</v>
      </c>
      <c r="T89" s="10">
        <v>0.79689421761468338</v>
      </c>
      <c r="U89" s="11">
        <v>0.79017761609615567</v>
      </c>
      <c r="V89" s="5"/>
    </row>
    <row r="90" spans="2:22" x14ac:dyDescent="0.3">
      <c r="B90" s="5"/>
      <c r="C90" s="5"/>
      <c r="D90" s="9">
        <v>1.0040887575737416</v>
      </c>
      <c r="E90" s="10">
        <v>0.74731897732690333</v>
      </c>
      <c r="F90" s="11">
        <v>0.65032097565704772</v>
      </c>
      <c r="G90" s="5"/>
      <c r="H90" s="5"/>
      <c r="I90" s="15">
        <v>0.77979984647592815</v>
      </c>
      <c r="J90" s="16">
        <v>0.77548797152225979</v>
      </c>
      <c r="K90" s="17">
        <v>0.77745499968172171</v>
      </c>
      <c r="L90" s="5"/>
      <c r="M90" s="5"/>
      <c r="N90" s="21">
        <v>0.72520839233681611</v>
      </c>
      <c r="O90" s="22">
        <v>0.74547880143942435</v>
      </c>
      <c r="P90" s="23">
        <v>0.78482280723109454</v>
      </c>
      <c r="Q90" s="5"/>
      <c r="R90" s="5"/>
      <c r="S90" s="27">
        <v>0.75508186698623403</v>
      </c>
      <c r="T90" s="10">
        <v>0.74973595890197309</v>
      </c>
      <c r="U90" s="11">
        <v>0.73814322385302589</v>
      </c>
      <c r="V90" s="5"/>
    </row>
    <row r="91" spans="2:22" x14ac:dyDescent="0.3">
      <c r="B91" s="5"/>
      <c r="C91" s="5"/>
      <c r="D91" s="9">
        <v>0.8205021633637698</v>
      </c>
      <c r="E91" s="10">
        <v>0.77149055138621081</v>
      </c>
      <c r="F91" s="11">
        <v>0.78651641713548626</v>
      </c>
      <c r="G91" s="5"/>
      <c r="H91" s="5"/>
      <c r="I91" s="15">
        <v>0.78739710930418227</v>
      </c>
      <c r="J91" s="16">
        <v>0.7843279036471128</v>
      </c>
      <c r="K91" s="17">
        <v>0.78883811405826321</v>
      </c>
      <c r="L91" s="5"/>
      <c r="M91" s="5"/>
      <c r="N91" s="21">
        <v>0.834151013396776</v>
      </c>
      <c r="O91" s="22">
        <v>0.73496381030690328</v>
      </c>
      <c r="P91" s="23">
        <v>0.70025556487113683</v>
      </c>
      <c r="Q91" s="5"/>
      <c r="R91" s="5"/>
      <c r="S91" s="27">
        <v>0.77096609048669684</v>
      </c>
      <c r="T91" s="10">
        <v>0.75653182915491901</v>
      </c>
      <c r="U91" s="11">
        <v>0.82714899067786329</v>
      </c>
      <c r="V91" s="5"/>
    </row>
    <row r="92" spans="2:22" x14ac:dyDescent="0.3">
      <c r="B92" s="5"/>
      <c r="C92" s="5"/>
      <c r="D92" s="9">
        <v>0.59596482531676587</v>
      </c>
      <c r="E92" s="10">
        <v>0.79998340005583246</v>
      </c>
      <c r="F92" s="11">
        <v>0.6833012621737834</v>
      </c>
      <c r="G92" s="5"/>
      <c r="H92" s="5"/>
      <c r="I92" s="15">
        <v>0.79405822422195826</v>
      </c>
      <c r="J92" s="16">
        <v>0.79406936675476492</v>
      </c>
      <c r="K92" s="17">
        <v>0.77935308792376323</v>
      </c>
      <c r="L92" s="5"/>
      <c r="M92" s="5"/>
      <c r="N92" s="21">
        <v>0.64418678871888213</v>
      </c>
      <c r="O92" s="22">
        <v>0.63530765193267202</v>
      </c>
      <c r="P92" s="23">
        <v>0.67141143634521006</v>
      </c>
      <c r="Q92" s="5"/>
      <c r="R92" s="5"/>
      <c r="S92" s="27">
        <v>0.84262065720326951</v>
      </c>
      <c r="T92" s="10">
        <v>0.77726483307556882</v>
      </c>
      <c r="U92" s="11">
        <v>0.75826483138115164</v>
      </c>
      <c r="V92" s="5"/>
    </row>
    <row r="93" spans="2:22" x14ac:dyDescent="0.3">
      <c r="B93" s="5"/>
      <c r="C93" s="5"/>
      <c r="D93" s="9">
        <v>0.69722566771416217</v>
      </c>
      <c r="E93" s="10">
        <v>0.75426992264668458</v>
      </c>
      <c r="F93" s="11">
        <v>0.80338283906473296</v>
      </c>
      <c r="G93" s="5"/>
      <c r="H93" s="5"/>
      <c r="I93" s="15">
        <v>0.77653365390898188</v>
      </c>
      <c r="J93" s="16">
        <v>0.78491742935447062</v>
      </c>
      <c r="K93" s="17">
        <v>0.78392774007101285</v>
      </c>
      <c r="L93" s="5"/>
      <c r="M93" s="5"/>
      <c r="N93" s="21">
        <v>0.70505866110361604</v>
      </c>
      <c r="O93" s="22">
        <v>0.7446072902876677</v>
      </c>
      <c r="P93" s="23">
        <v>0.84998353464717213</v>
      </c>
      <c r="Q93" s="5"/>
      <c r="R93" s="5"/>
      <c r="S93" s="27">
        <v>0.77409719228198282</v>
      </c>
      <c r="T93" s="10">
        <v>0.75174051925790453</v>
      </c>
      <c r="U93" s="11">
        <v>0.84116578161662447</v>
      </c>
      <c r="V93" s="5"/>
    </row>
    <row r="94" spans="2:22" x14ac:dyDescent="0.3">
      <c r="B94" s="5"/>
      <c r="C94" s="5"/>
      <c r="D94" s="9">
        <v>0.98431913130436477</v>
      </c>
      <c r="E94" s="10">
        <v>0.74377830958686564</v>
      </c>
      <c r="F94" s="11">
        <v>0.73621873068005228</v>
      </c>
      <c r="G94" s="5"/>
      <c r="H94" s="5"/>
      <c r="I94" s="15">
        <v>0.77901482055331484</v>
      </c>
      <c r="J94" s="16">
        <v>0.79095421123698562</v>
      </c>
      <c r="K94" s="17">
        <v>0.77835445176803764</v>
      </c>
      <c r="L94" s="5"/>
      <c r="M94" s="5"/>
      <c r="N94" s="21">
        <v>0.67761375849289784</v>
      </c>
      <c r="O94" s="22">
        <v>0.71025731168216288</v>
      </c>
      <c r="P94" s="23">
        <v>0.806775983923257</v>
      </c>
      <c r="Q94" s="5"/>
      <c r="R94" s="5"/>
      <c r="S94" s="27">
        <v>0.77012181356849208</v>
      </c>
      <c r="T94" s="10">
        <v>0.81522649763229937</v>
      </c>
      <c r="U94" s="11">
        <v>0.62120713217852375</v>
      </c>
      <c r="V94" s="5"/>
    </row>
    <row r="95" spans="2:22" x14ac:dyDescent="0.3">
      <c r="B95" s="5"/>
      <c r="C95" s="5"/>
      <c r="D95" s="9">
        <v>0.62429881496770523</v>
      </c>
      <c r="E95" s="10">
        <v>0.72379568375095849</v>
      </c>
      <c r="F95" s="11">
        <v>0.78190725639331182</v>
      </c>
      <c r="G95" s="5"/>
      <c r="H95" s="5"/>
      <c r="I95" s="15">
        <v>0.77371057743771621</v>
      </c>
      <c r="J95" s="16">
        <v>0.77333969231140109</v>
      </c>
      <c r="K95" s="17">
        <v>0.77637876049559651</v>
      </c>
      <c r="L95" s="5"/>
      <c r="M95" s="5"/>
      <c r="N95" s="21">
        <v>0.64368188627834433</v>
      </c>
      <c r="O95" s="22">
        <v>0.62870196438400083</v>
      </c>
      <c r="P95" s="23">
        <v>0.45594138064465634</v>
      </c>
      <c r="Q95" s="5"/>
      <c r="R95" s="5"/>
      <c r="S95" s="27">
        <v>0.73197380773593224</v>
      </c>
      <c r="T95" s="10">
        <v>0.83344760882375379</v>
      </c>
      <c r="U95" s="11">
        <v>0.81694044805760668</v>
      </c>
      <c r="V95" s="5"/>
    </row>
    <row r="96" spans="2:22" x14ac:dyDescent="0.3">
      <c r="B96" s="5"/>
      <c r="C96" s="5"/>
      <c r="D96" s="9">
        <v>0.86223887308670033</v>
      </c>
      <c r="E96" s="10">
        <v>0.76168857662931488</v>
      </c>
      <c r="F96" s="11">
        <v>0.68566053956842254</v>
      </c>
      <c r="G96" s="5"/>
      <c r="H96" s="5"/>
      <c r="I96" s="15">
        <v>0.77349867756716606</v>
      </c>
      <c r="J96" s="16">
        <v>0.7790477604522632</v>
      </c>
      <c r="K96" s="17">
        <v>0.79212437671312685</v>
      </c>
      <c r="L96" s="5"/>
      <c r="M96" s="5"/>
      <c r="N96" s="21">
        <v>0.71290642872633592</v>
      </c>
      <c r="O96" s="22">
        <v>0.72778258025064413</v>
      </c>
      <c r="P96" s="23">
        <v>0.75008879080329816</v>
      </c>
      <c r="Q96" s="5"/>
      <c r="R96" s="5"/>
      <c r="S96" s="27">
        <v>0.73789641238068837</v>
      </c>
      <c r="T96" s="10">
        <v>0.66577479875578183</v>
      </c>
      <c r="U96" s="11">
        <v>0.78077357008449444</v>
      </c>
      <c r="V96" s="5"/>
    </row>
    <row r="97" spans="2:22" x14ac:dyDescent="0.3">
      <c r="B97" s="5"/>
      <c r="C97" s="5"/>
      <c r="D97" s="9">
        <v>0.88375868096639121</v>
      </c>
      <c r="E97" s="10">
        <v>1.024121246434454</v>
      </c>
      <c r="F97" s="11">
        <v>0.78110372304690801</v>
      </c>
      <c r="G97" s="5"/>
      <c r="H97" s="5"/>
      <c r="I97" s="15">
        <v>0.78681770273774121</v>
      </c>
      <c r="J97" s="16">
        <v>0.78784930159197164</v>
      </c>
      <c r="K97" s="17">
        <v>0.78425138034987185</v>
      </c>
      <c r="L97" s="5"/>
      <c r="M97" s="5"/>
      <c r="N97" s="21">
        <v>0.79376130943643242</v>
      </c>
      <c r="O97" s="22">
        <v>0.76964352301700278</v>
      </c>
      <c r="P97" s="23">
        <v>0.60819225072109551</v>
      </c>
      <c r="Q97" s="5"/>
      <c r="R97" s="5"/>
      <c r="S97" s="27">
        <v>0.78475329844101982</v>
      </c>
      <c r="T97" s="10">
        <v>0.83060809810879632</v>
      </c>
      <c r="U97" s="11">
        <v>0.76368629085302908</v>
      </c>
      <c r="V97" s="5"/>
    </row>
    <row r="98" spans="2:22" x14ac:dyDescent="0.3">
      <c r="B98" s="5"/>
      <c r="C98" s="5"/>
      <c r="D98" s="9">
        <v>0.74874678055921362</v>
      </c>
      <c r="E98" s="10">
        <v>1.0751481098894953</v>
      </c>
      <c r="F98" s="11">
        <v>0.7409593442903275</v>
      </c>
      <c r="G98" s="5"/>
      <c r="H98" s="5"/>
      <c r="I98" s="15">
        <v>0.76811590489688586</v>
      </c>
      <c r="J98" s="16">
        <v>0.79779636807491261</v>
      </c>
      <c r="K98" s="17">
        <v>0.78302397570775273</v>
      </c>
      <c r="L98" s="5"/>
      <c r="M98" s="5"/>
      <c r="N98" s="21">
        <v>0.65991844780168274</v>
      </c>
      <c r="O98" s="22">
        <v>0.68362393081313366</v>
      </c>
      <c r="P98" s="23">
        <v>0.86455802786390867</v>
      </c>
      <c r="Q98" s="5"/>
      <c r="R98" s="5"/>
      <c r="S98" s="27">
        <v>0.70295211472092434</v>
      </c>
      <c r="T98" s="10">
        <v>0.83271008609177855</v>
      </c>
      <c r="U98" s="11">
        <v>0.74264635159229442</v>
      </c>
      <c r="V98" s="5"/>
    </row>
    <row r="99" spans="2:22" x14ac:dyDescent="0.3">
      <c r="B99" s="5"/>
      <c r="C99" s="5"/>
      <c r="D99" s="9">
        <v>0.65819176911841992</v>
      </c>
      <c r="E99" s="10">
        <v>0.78082619813490617</v>
      </c>
      <c r="F99" s="11">
        <v>0.68654744644294652</v>
      </c>
      <c r="G99" s="5"/>
      <c r="H99" s="5"/>
      <c r="I99" s="15">
        <v>0.78797340011885053</v>
      </c>
      <c r="J99" s="16">
        <v>0.78502507118762255</v>
      </c>
      <c r="K99" s="17">
        <v>0.79551625701910855</v>
      </c>
      <c r="L99" s="5"/>
      <c r="M99" s="5"/>
      <c r="N99" s="21">
        <v>0.69884796550608652</v>
      </c>
      <c r="O99" s="22">
        <v>0.65825007514726463</v>
      </c>
      <c r="P99" s="23">
        <v>0.81866952317234076</v>
      </c>
      <c r="Q99" s="5"/>
      <c r="R99" s="5"/>
      <c r="S99" s="27">
        <v>0.73188614429029164</v>
      </c>
      <c r="T99" s="10">
        <v>0.86122555775976906</v>
      </c>
      <c r="U99" s="11">
        <v>0.87057974042481323</v>
      </c>
      <c r="V99" s="5"/>
    </row>
    <row r="100" spans="2:22" x14ac:dyDescent="0.3">
      <c r="B100" s="5"/>
      <c r="C100" s="5"/>
      <c r="D100" s="9">
        <v>0.8799257151001062</v>
      </c>
      <c r="E100" s="10">
        <v>0.74283442806084599</v>
      </c>
      <c r="F100" s="11">
        <v>0.85122927042480268</v>
      </c>
      <c r="G100" s="5"/>
      <c r="H100" s="5"/>
      <c r="I100" s="15">
        <v>0.77576233788634086</v>
      </c>
      <c r="J100" s="16">
        <v>0.78085383466048519</v>
      </c>
      <c r="K100" s="17">
        <v>0.78503711595783199</v>
      </c>
      <c r="L100" s="5"/>
      <c r="M100" s="5"/>
      <c r="N100" s="21">
        <v>0.89858929088851391</v>
      </c>
      <c r="O100" s="22">
        <v>0.71894506247775747</v>
      </c>
      <c r="P100" s="23">
        <v>0.63977035809410554</v>
      </c>
      <c r="Q100" s="5"/>
      <c r="R100" s="5"/>
      <c r="S100" s="27">
        <v>0.78174031346890926</v>
      </c>
      <c r="T100" s="10">
        <v>0.89998771797045451</v>
      </c>
      <c r="U100" s="11">
        <v>0.79334158516836695</v>
      </c>
      <c r="V100" s="5"/>
    </row>
    <row r="101" spans="2:22" x14ac:dyDescent="0.3">
      <c r="B101" s="5"/>
      <c r="C101" s="5"/>
      <c r="D101" s="9">
        <v>0.84964540241004161</v>
      </c>
      <c r="E101" s="10">
        <v>0.68501874442237798</v>
      </c>
      <c r="F101" s="11">
        <v>0.81970083836219054</v>
      </c>
      <c r="G101" s="5"/>
      <c r="H101" s="5"/>
      <c r="I101" s="15">
        <v>0.77945235989522654</v>
      </c>
      <c r="J101" s="16">
        <v>0.7802197160393215</v>
      </c>
      <c r="K101" s="17">
        <v>0.78668948291278673</v>
      </c>
      <c r="L101" s="5"/>
      <c r="M101" s="5"/>
      <c r="N101" s="21">
        <v>0.70407233513518552</v>
      </c>
      <c r="O101" s="22">
        <v>0.73689644678218214</v>
      </c>
      <c r="P101" s="23">
        <v>0.7200611660147701</v>
      </c>
      <c r="Q101" s="5"/>
      <c r="R101" s="5"/>
      <c r="S101" s="27">
        <v>0.73852427472618254</v>
      </c>
      <c r="T101" s="10">
        <v>0.84573041176121388</v>
      </c>
      <c r="U101" s="11">
        <v>0.74656475917899101</v>
      </c>
      <c r="V101" s="5"/>
    </row>
    <row r="102" spans="2:22" ht="15" thickBot="1" x14ac:dyDescent="0.35">
      <c r="B102" s="5"/>
      <c r="C102" s="5"/>
      <c r="D102" s="9">
        <v>0.68775416406466805</v>
      </c>
      <c r="E102" s="10">
        <v>0.72611305147824545</v>
      </c>
      <c r="F102" s="11">
        <v>0.83675654960846324</v>
      </c>
      <c r="G102" s="5"/>
      <c r="H102" s="5"/>
      <c r="I102" s="15">
        <v>0.78930631037935572</v>
      </c>
      <c r="J102" s="16">
        <v>0.77570429336511459</v>
      </c>
      <c r="K102" s="17">
        <v>0.77551425508510829</v>
      </c>
      <c r="L102" s="5"/>
      <c r="M102" s="5"/>
      <c r="N102" s="21">
        <v>0.69499117908269292</v>
      </c>
      <c r="O102" s="22">
        <v>0.74830203488760461</v>
      </c>
      <c r="P102" s="23">
        <v>0.67428123129425166</v>
      </c>
      <c r="Q102" s="5"/>
      <c r="R102" s="5"/>
      <c r="S102" s="27">
        <v>0.76839702695512024</v>
      </c>
      <c r="T102" s="10">
        <v>0.83604570615721208</v>
      </c>
      <c r="U102" s="11">
        <v>0.72586596613895449</v>
      </c>
      <c r="V102" s="5"/>
    </row>
    <row r="103" spans="2:22" ht="15.6" thickTop="1" thickBot="1" x14ac:dyDescent="0.35">
      <c r="B103" s="5"/>
      <c r="C103" s="28" t="s">
        <v>0</v>
      </c>
      <c r="D103" s="30">
        <f t="shared" ref="D103:F103" si="0">AVERAGE(D3:D102)</f>
        <v>0.79069813023943081</v>
      </c>
      <c r="E103" s="30">
        <f t="shared" si="0"/>
        <v>0.76974191820828142</v>
      </c>
      <c r="F103" s="30">
        <f t="shared" si="0"/>
        <v>0.77314141196114161</v>
      </c>
      <c r="G103" s="5"/>
      <c r="H103" s="5"/>
      <c r="I103" s="32">
        <f>AVERAGE(I3:I102)</f>
        <v>0.78310309849710502</v>
      </c>
      <c r="J103" s="32">
        <f t="shared" ref="J103:K103" si="1">AVERAGE(J3:J102)</f>
        <v>0.78316624278896319</v>
      </c>
      <c r="K103" s="32">
        <f t="shared" si="1"/>
        <v>0.7839497468804173</v>
      </c>
      <c r="L103" s="5"/>
      <c r="M103" s="5"/>
      <c r="N103" s="34">
        <f>AVERAGE(N3:N102)</f>
        <v>0.70251236276744577</v>
      </c>
      <c r="O103" s="34">
        <f t="shared" ref="O103:P103" si="2">AVERAGE(O3:O102)</f>
        <v>0.71274650325689293</v>
      </c>
      <c r="P103" s="35">
        <f t="shared" si="2"/>
        <v>0.72422630889202066</v>
      </c>
      <c r="Q103" s="5"/>
      <c r="R103" s="5"/>
      <c r="S103" s="36">
        <f>AVERAGE(S3:S102)</f>
        <v>0.79043469294862267</v>
      </c>
      <c r="T103" s="36">
        <f t="shared" ref="T103:U103" si="3">AVERAGE(T3:T102)</f>
        <v>0.7944178956022212</v>
      </c>
      <c r="U103" s="36">
        <f t="shared" si="3"/>
        <v>0.78930288740851717</v>
      </c>
      <c r="V103" s="5"/>
    </row>
    <row r="104" spans="2:22" ht="15.6" thickTop="1" thickBot="1" x14ac:dyDescent="0.35">
      <c r="B104" s="5"/>
      <c r="C104" s="29" t="s">
        <v>1</v>
      </c>
      <c r="D104" s="31">
        <f>_xlfn.VAR.P(_xlfn.ANCHORARRAY(D3))</f>
        <v>1.3165129080427504E-2</v>
      </c>
      <c r="E104" s="31">
        <f t="shared" ref="E104:K104" si="4">_xlfn.VAR.P(_xlfn.ANCHORARRAY(E3))</f>
        <v>1.2783861224654901E-2</v>
      </c>
      <c r="F104" s="31">
        <f t="shared" si="4"/>
        <v>1.3551599517186241E-2</v>
      </c>
      <c r="G104" s="5"/>
      <c r="H104" s="5"/>
      <c r="I104" s="33">
        <f t="shared" si="4"/>
        <v>4.0466876251019303E-5</v>
      </c>
      <c r="J104" s="33">
        <f t="shared" si="4"/>
        <v>3.456907038596309E-5</v>
      </c>
      <c r="K104" s="33">
        <f t="shared" si="4"/>
        <v>4.1797594702441236E-5</v>
      </c>
      <c r="L104" s="5"/>
      <c r="M104" s="5"/>
      <c r="N104" s="34">
        <f>_xlfn.VAR.P(_xlfn.ANCHORARRAY(N3))</f>
        <v>6.2284764567603814E-3</v>
      </c>
      <c r="O104" s="34">
        <f t="shared" ref="O104:P104" si="5">_xlfn.VAR.P(_xlfn.ANCHORARRAY(O3))</f>
        <v>5.1442650535799654E-3</v>
      </c>
      <c r="P104" s="35">
        <f t="shared" si="5"/>
        <v>9.2242824537094748E-3</v>
      </c>
      <c r="Q104" s="5"/>
      <c r="R104" s="5"/>
      <c r="S104" s="33">
        <f>_xlfn.VAR.P(_xlfn.ANCHORARRAY(S3))</f>
        <v>3.3042981684672321E-3</v>
      </c>
      <c r="T104" s="33">
        <f t="shared" ref="T104:U104" si="6">_xlfn.VAR.P(_xlfn.ANCHORARRAY(T3))</f>
        <v>2.8282666861886231E-3</v>
      </c>
      <c r="U104" s="33">
        <f t="shared" si="6"/>
        <v>3.2094229348085699E-3</v>
      </c>
      <c r="V104" s="5"/>
    </row>
    <row r="105" spans="2:22" x14ac:dyDescent="0.3"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</row>
  </sheetData>
  <mergeCells count="5">
    <mergeCell ref="D1:U1"/>
    <mergeCell ref="D2:F2"/>
    <mergeCell ref="I2:K2"/>
    <mergeCell ref="N2:P2"/>
    <mergeCell ref="S2:U2"/>
  </mergeCells>
  <conditionalFormatting sqref="D111:L261 N111:CY261 M112:M26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Piotr Cukier</dc:creator>
  <cp:lastModifiedBy>Piotr Cukier</cp:lastModifiedBy>
  <dcterms:created xsi:type="dcterms:W3CDTF">2022-01-17T21:24:20Z</dcterms:created>
  <dcterms:modified xsi:type="dcterms:W3CDTF">2022-01-23T19:32:06Z</dcterms:modified>
</cp:coreProperties>
</file>